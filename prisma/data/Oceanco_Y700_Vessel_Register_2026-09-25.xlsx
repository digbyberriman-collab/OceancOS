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73b05c9bdd455c" /></Relationships>
</file>

<file path=xl/workbook.xml><?xml version="1.0" encoding="utf-8"?>
<x:workbook xmlns:x="http://schemas.openxmlformats.org/spreadsheetml/2006/main">
  <x:sheets>
    <x:sheet xmlns:r="http://schemas.openxmlformats.org/officeDocument/2006/relationships" name="Read Me" sheetId="1" r:id="R5142210cb5c6485f"/>
    <x:sheet xmlns:r="http://schemas.openxmlformats.org/officeDocument/2006/relationships" name="Vessel Register" sheetId="2" r:id="R621e938cc4c449e0"/>
    <x:sheet xmlns:r="http://schemas.openxmlformats.org/officeDocument/2006/relationships" name="Technical Particulars" sheetId="3" r:id="Raf216b5feafc4c20"/>
    <x:sheet xmlns:r="http://schemas.openxmlformats.org/officeDocument/2006/relationships" name="Source Comparison" sheetId="4" r:id="R798a282642b942ab"/>
    <x:sheet xmlns:r="http://schemas.openxmlformats.org/officeDocument/2006/relationships" name="Build Sequence" sheetId="5" r:id="Rd5c912e3a69349a2"/>
    <x:sheet xmlns:r="http://schemas.openxmlformats.org/officeDocument/2006/relationships" name="Field Evidence" sheetId="6" r:id="R324c97cd16b94a6e"/>
    <x:sheet xmlns:r="http://schemas.openxmlformats.org/officeDocument/2006/relationships" name="Sources" sheetId="7" r:id="Rb9429b4df74b41a6"/>
    <x:sheet xmlns:r="http://schemas.openxmlformats.org/officeDocument/2006/relationships" name="Data Gaps" sheetId="8" r:id="R9ec548409ab94df6"/>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
    <x:numFmt numFmtId="201" formatCode="0.00"/>
    <x:numFmt numFmtId="202" formatCode="#,##0"/>
    <x:numFmt numFmtId="203" formatCode="dd mmm yyyy"/>
    <x:numFmt numFmtId="204" formatCode="#,##0.0"/>
    <x:numFmt numFmtId="205" formatCode="0"/>
    <x:numFmt numFmtId="206" formatCode="0.00;[Red]-0.00;–"/>
    <x:numFmt numFmtId="207" formatCode="#,##0;[Red]-#,##0;–"/>
  </x:numFmts>
  <x:fonts count="12">
    <x:font>
      <x:sz val="11"/>
      <x:name val="Carlito"/>
    </x:font>
    <x:font>
      <x:sz val="10"/>
      <x:color rgb="FF233746"/>
      <x:name val="Aptos"/>
    </x:font>
    <x:font>
      <x:b/>
      <x:sz val="20"/>
      <x:color rgb="FFFFFFFF"/>
      <x:name val="Aptos"/>
    </x:font>
    <x:font>
      <x:b/>
      <x:sz val="10"/>
      <x:color rgb="FFFFFFFF"/>
      <x:name val="Aptos"/>
    </x:font>
    <x:font>
      <x:b/>
      <x:sz val="10"/>
      <x:color rgb="FF173349"/>
      <x:name val="Aptos"/>
    </x:font>
    <x:font>
      <x:sz val="11"/>
      <x:color rgb="FF233746"/>
      <x:name val="Aptos"/>
    </x:font>
    <x:font>
      <x:b/>
      <x:sz val="22"/>
      <x:color rgb="FFFFFFFF"/>
      <x:name val="Aptos"/>
    </x:font>
    <x:font>
      <x:b/>
      <x:sz val="10"/>
      <x:color rgb="FF116E78"/>
      <x:name val="Aptos"/>
    </x:font>
    <x:font>
      <x:b/>
      <x:sz val="28"/>
      <x:color rgb="FF173349"/>
      <x:name val="Aptos"/>
    </x:font>
    <x:font>
      <x:b/>
      <x:sz val="11"/>
      <x:color rgb="FFFFFFFF"/>
      <x:name val="Aptos"/>
    </x:font>
    <x:font>
      <x:b/>
      <x:sz val="11"/>
      <x:color rgb="FF116E78"/>
      <x:name val="Aptos"/>
    </x:font>
    <x:font>
      <x:sz val="10"/>
      <x:color rgb="FF657682"/>
      <x:name val="Aptos"/>
    </x:font>
  </x:fonts>
  <x:fills count="7">
    <x:fill>
      <x:patternFill patternType="none"/>
    </x:fill>
    <x:fill>
      <x:patternFill patternType="gray125"/>
    </x:fill>
    <x:fill>
      <x:patternFill patternType="solid">
        <x:fgColor rgb="FF173349"/>
      </x:patternFill>
    </x:fill>
    <x:fill>
      <x:patternFill patternType="solid">
        <x:fgColor rgb="FFEAF2F5"/>
      </x:patternFill>
    </x:fill>
    <x:fill>
      <x:patternFill patternType="solid">
        <x:fgColor rgb="FF116E78"/>
      </x:patternFill>
    </x:fill>
    <x:fill>
      <x:patternFill patternType="solid">
        <x:fgColor rgb="FFFFF1D6"/>
      </x:patternFill>
    </x:fill>
    <x:fill>
      <x:patternFill patternType="solid">
        <x:fgColor rgb="FFF4F6F8"/>
      </x:patternFill>
    </x:fill>
  </x:fills>
  <x:borders count="2">
    <x:border/>
    <x:border/>
  </x:borders>
  <x:cellStyleXfs count="1">
    <x:xf numFmtId="0" fontId="0" fillId="0" borderId="0"/>
  </x:cellStyleXfs>
  <x:cellXfs count="77">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vertical="center" wrapText="1"/>
    </x:xf>
    <x:xf numFmtId="0" fontId="1"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0" borderId="1"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2" fontId="1" fillId="0" borderId="1"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3" fontId="1" fillId="0"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202" fontId="1" fillId="5" borderId="0" xfId="0" applyNumberFormat="1" applyFont="1" applyFill="1" applyBorder="1" applyAlignment="1">
      <x:alignment vertical="top" wrapText="1"/>
    </x:xf>
    <x:xf numFmtId="202" fontId="1" fillId="5" borderId="1"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204" fontId="1" fillId="0" borderId="1" xfId="0" applyNumberFormat="1" applyFont="1" applyFill="1" applyBorder="1" applyAlignment="1">
      <x:alignment vertical="top" wrapText="1"/>
    </x:xf>
    <x:xf numFmtId="205" fontId="1" fillId="0" borderId="0" xfId="0" applyNumberFormat="1" applyFont="1" applyFill="1" applyBorder="1" applyAlignment="1">
      <x:alignment vertical="top" wrapText="1"/>
    </x:xf>
    <x:xf numFmtId="205" fontId="1" fillId="0" borderId="1" xfId="0" applyNumberFormat="1" applyFont="1" applyFill="1" applyBorder="1" applyAlignment="1">
      <x:alignment vertical="top" wrapText="1"/>
    </x:xf>
    <x:xf numFmtId="206" fontId="1" fillId="0" borderId="0" xfId="0" applyNumberFormat="1" applyFont="1" applyFill="1" applyBorder="1" applyAlignment="1">
      <x:alignment vertical="top" wrapText="1"/>
    </x:xf>
    <x:xf numFmtId="206" fontId="1" fillId="0" borderId="1" xfId="0" applyNumberFormat="1" applyFont="1" applyFill="1" applyBorder="1" applyAlignment="1">
      <x:alignment vertical="top" wrapText="1"/>
    </x:xf>
    <x:xf numFmtId="207" fontId="1" fillId="0" borderId="0" xfId="0" applyNumberFormat="1" applyFont="1" applyFill="1" applyBorder="1" applyAlignment="1">
      <x:alignment vertical="top" wrapText="1"/>
    </x:xf>
    <x:xf numFmtId="207" fontId="1" fillId="0" borderId="1"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5" fillId="2" borderId="1" xfId="0" applyNumberFormat="1" applyFont="1" applyFill="1" applyBorder="1" applyAlignment="1">
      <x:alignment vertical="center" wrapText="1"/>
    </x:xf>
    <x:xf numFmtId="0" fontId="6" fillId="2" borderId="1"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7" fillId="3" borderId="0" xfId="0" applyNumberFormat="1" applyFont="1" applyFill="1" applyBorder="1" applyAlignment="1">
      <x:alignment vertical="center" wrapText="1"/>
    </x:xf>
    <x:xf numFmtId="0" fontId="5" fillId="3" borderId="1" xfId="0" applyNumberFormat="1" applyFont="1" applyFill="1" applyBorder="1" applyAlignment="1">
      <x:alignment vertical="center" wrapText="1"/>
    </x:xf>
    <x:xf numFmtId="0" fontId="7" fillId="3" borderId="1"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4" borderId="1" xfId="0" applyNumberFormat="1" applyFont="1" applyFill="1" applyBorder="1" applyAlignment="1">
      <x:alignment vertical="center" wrapText="1"/>
    </x:xf>
    <x:xf numFmtId="0" fontId="8" fillId="3" borderId="0" xfId="0" applyNumberFormat="1" applyFont="1" applyFill="1" applyBorder="1" applyAlignment="1">
      <x:alignment vertical="center" wrapText="1"/>
    </x:xf>
    <x:xf numFmtId="0" fontId="8" fillId="3" borderId="0" xfId="0" applyNumberFormat="1" applyFont="1" applyFill="1" applyBorder="1" applyAlignment="1">
      <x:alignment horizontal="center" vertical="center" wrapText="1"/>
    </x:xf>
    <x:xf numFmtId="0" fontId="8" fillId="3" borderId="1" xfId="0" applyNumberFormat="1" applyFont="1" applyFill="1" applyBorder="1" applyAlignment="1">
      <x:alignment vertical="center" wrapText="1"/>
    </x:xf>
    <x:xf numFmtId="0" fontId="8" fillId="3" borderId="1" xfId="0" applyNumberFormat="1" applyFont="1" applyFill="1" applyBorder="1" applyAlignment="1">
      <x:alignment horizontal="center" vertical="center" wrapText="1"/>
    </x:xf>
    <x:xf numFmtId="0" fontId="5" fillId="6" borderId="0"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9" fillId="4" borderId="0" xfId="0" applyNumberFormat="1" applyFont="1" applyFill="1" applyBorder="1" applyAlignment="1">
      <x:alignment vertical="center" wrapText="1"/>
    </x:xf>
    <x:xf numFmtId="0" fontId="9" fillId="4" borderId="1"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10" fillId="0" borderId="1" xfId="0" applyNumberFormat="1" applyFont="1" applyFill="1" applyBorder="1" applyAlignment="1">
      <x:alignment vertical="center" wrapText="1"/>
    </x:xf>
    <x:xf numFmtId="0" fontId="10" fillId="6" borderId="0" xfId="0" applyNumberFormat="1" applyFont="1" applyFill="1" applyBorder="1" applyAlignment="1">
      <x:alignment vertical="center" wrapText="1"/>
    </x:xf>
    <x:xf numFmtId="0" fontId="10" fillId="6" borderId="1" xfId="0" applyNumberFormat="1" applyFont="1" applyFill="1" applyBorder="1" applyAlignment="1">
      <x:alignment vertical="center" wrapText="1"/>
    </x:xf>
    <x:xf numFmtId="0" fontId="9" fillId="2" borderId="0" xfId="0" applyNumberFormat="1" applyFont="1" applyFill="1" applyBorder="1" applyAlignment="1">
      <x:alignment vertical="center" wrapText="1"/>
    </x:xf>
    <x:xf numFmtId="0" fontId="9" fillId="2" borderId="1"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10" fillId="3" borderId="0" xfId="0" applyNumberFormat="1" applyFont="1" applyFill="1" applyBorder="1" applyAlignment="1">
      <x:alignment vertical="center" wrapText="1"/>
    </x:xf>
    <x:xf numFmtId="0" fontId="10" fillId="3" borderId="1" xfId="0" applyNumberFormat="1" applyFont="1" applyFill="1" applyBorder="1" applyAlignment="1">
      <x:alignment vertical="center" wrapText="1"/>
    </x:xf>
    <x:xf numFmtId="0" fontId="11" fillId="0" borderId="0" xfId="0" applyNumberFormat="1" applyFont="1" applyFill="1" applyBorder="1" applyAlignment="1">
      <x:alignment vertical="center" wrapText="1"/>
    </x:xf>
  </x:cellXfs>
  <x:cellStyles count="1">
    <x:cellStyle name="Normal" xfId="0"/>
  </x:cellStyles>
  <x:dxfs count="3">
    <x:dxf>
      <x:font>
        <x:b/>
      </x:font>
      <x:fill>
        <x:patternFill patternType="solid">
          <x:bgColor rgb="FFFFF1D6"/>
        </x:patternFill>
      </x:fill>
    </x:dxf>
    <x:dxf>
      <x:fill>
        <x:patternFill patternType="solid">
          <x:bgColor rgb="FFFFF1D6"/>
        </x:patternFill>
      </x:fill>
    </x:dxf>
    <x:dxf>
      <x:font>
        <x:b/>
      </x:font>
      <x:fill>
        <x:patternFill patternType="solid">
          <x:bgColor rgb="FFF9D9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6c5c8624f74fce" /><Relationship Type="http://schemas.openxmlformats.org/officeDocument/2006/relationships/theme" Target="/xl/theme/theme1.xml" Id="Rb200caf143da418e" /><Relationship Type="http://schemas.openxmlformats.org/officeDocument/2006/relationships/sharedStrings" Target="/xl/sharedStrings.xml" Id="Rd4d7d657a7894b50" /><Relationship Type="http://schemas.openxmlformats.org/officeDocument/2006/relationships/worksheet" Target="/xl/worksheets/sheet1.xml" Id="R5142210cb5c6485f" /><Relationship Type="http://schemas.openxmlformats.org/officeDocument/2006/relationships/worksheet" Target="/xl/worksheets/sheet2.xml" Id="R621e938cc4c449e0" /><Relationship Type="http://schemas.openxmlformats.org/officeDocument/2006/relationships/worksheet" Target="/xl/worksheets/sheet3.xml" Id="Raf216b5feafc4c20" /><Relationship Type="http://schemas.openxmlformats.org/officeDocument/2006/relationships/worksheet" Target="/xl/worksheets/sheet4.xml" Id="R798a282642b942ab" /><Relationship Type="http://schemas.openxmlformats.org/officeDocument/2006/relationships/worksheet" Target="/xl/worksheets/sheet5.xml" Id="Rd5c912e3a69349a2" /><Relationship Type="http://schemas.openxmlformats.org/officeDocument/2006/relationships/worksheet" Target="/xl/worksheets/sheet6.xml" Id="R324c97cd16b94a6e" /><Relationship Type="http://schemas.openxmlformats.org/officeDocument/2006/relationships/worksheet" Target="/xl/worksheets/sheet7.xml" Id="Rb9429b4df74b41a6" /><Relationship Type="http://schemas.openxmlformats.org/officeDocument/2006/relationships/worksheet" Target="/xl/worksheets/sheet8.xml" Id="R9ec548409ab94df6" /></Relationships>
</file>

<file path=xl/tables/table1.xml><?xml version="1.0" encoding="utf-8"?>
<x:table xmlns:x="http://schemas.openxmlformats.org/spreadsheetml/2006/main" id="1" name="VesselRegisterTable" displayName="VesselRegisterTable" ref="A4:T26" headerRowCount="1" totalsRowCount="0" totalsRowShown="0">
  <x:tableColumns count="20">
    <x:tableColumn id="1" name="Yard ID"/>
    <x:tableColumn id="2" name="Published vessel name"/>
    <x:tableColumn id="3" name="Former names / aliases"/>
    <x:tableColumn id="4" name="Delivered (year)"/>
    <x:tableColumn id="5" name="Vessel type"/>
    <x:tableColumn id="6" name="IMO"/>
    <x:tableColumn id="7" name="MMSI"/>
    <x:tableColumn id="8" name="Call sign"/>
    <x:tableColumn id="9" name="Published flag"/>
    <x:tableColumn id="10" name="Preferred LOA (m)"/>
    <x:tableColumn id="11" name="Preferred beam (m)"/>
    <x:tableColumn id="12" name="Working GT"/>
    <x:tableColumn id="13" name="LOA / beam basis"/>
    <x:tableColumn id="14" name="GT basis / qualification"/>
    <x:tableColumn id="15" name="Identity qualification"/>
    <x:tableColumn id="16" name="Dimensions / name notes"/>
    <x:tableColumn id="17" name="Builder URL"/>
    <x:tableColumn id="18" name="Database URL"/>
    <x:tableColumn id="19" name="Identity supplement URL"/>
    <x:tableColumn id="20" name="Checked on"/>
  </x:tableColumns>
  <x:tableStyleInfo name="TableStyleMedium2" showFirstColumn="0" showLastColumn="0" showRowStripes="1" showColumnStripes="0"/>
</x:table>
</file>

<file path=xl/tables/table2.xml><?xml version="1.0" encoding="utf-8"?>
<x:table xmlns:x="http://schemas.openxmlformats.org/spreadsheetml/2006/main" id="2" name="TechnicalParticularsTable" displayName="TechnicalParticularsTable" ref="A4:W26" headerRowCount="1" totalsRowCount="0" totalsRowShown="0">
  <x:tableColumns count="23">
    <x:tableColumn id="1" name="Yard ID"/>
    <x:tableColumn id="2" name="Vessel"/>
    <x:tableColumn id="3" name="Draft (m)&#10;[published]"/>
    <x:tableColumn id="4" name="Hull"/>
    <x:tableColumn id="5" name="Superstructure"/>
    <x:tableColumn id="6" name="Naval architecture / engineering"/>
    <x:tableColumn id="7" name="Exterior design"/>
    <x:tableColumn id="8" name="Interior design"/>
    <x:tableColumn id="9" name="Main machinery"/>
    <x:tableColumn id="10" name="Propulsion / energy"/>
    <x:tableColumn id="11" name="Cruise (kn)"/>
    <x:tableColumn id="12" name="Max motor (kn)"/>
    <x:tableColumn id="13" name="Max sail (kn)"/>
    <x:tableColumn id="14" name="Range (nm)"/>
    <x:tableColumn id="15" name="Guests [published]"/>
    <x:tableColumn id="16" name="Guest cabins"/>
    <x:tableColumn id="17" name="Crew [published]"/>
    <x:tableColumn id="18" name="Class society [published]"/>
    <x:tableColumn id="19" name="Refit/rebuild identified"/>
    <x:tableColumn id="20" name="Selected features"/>
    <x:tableColumn id="21" name="Source IDs"/>
    <x:tableColumn id="22" name="Source URLs"/>
    <x:tableColumn id="23" name="Qualification"/>
  </x:tableColumns>
  <x:tableStyleInfo name="TableStyleMedium2" showFirstColumn="0" showLastColumn="0" showRowStripes="1" showColumnStripes="0"/>
</x:table>
</file>

<file path=xl/tables/table3.xml><?xml version="1.0" encoding="utf-8"?>
<x:table xmlns:x="http://schemas.openxmlformats.org/spreadsheetml/2006/main" id="3" name="SourceComparisonTable" displayName="SourceComparisonTable" ref="A4:Q26" headerRowCount="1" totalsRowCount="0" totalsRowShown="0">
  <x:tableColumns count="17">
    <x:tableColumn id="1" name="Yard ID"/>
    <x:tableColumn id="2" name="Vessel"/>
    <x:tableColumn id="3" name="Preferred LOA (m)"/>
    <x:tableColumn id="4" name="VF static LOA (m)"/>
    <x:tableColumn id="5" name="Δ LOA (m)"/>
    <x:tableColumn id="6" name="Preferred beam (m)"/>
    <x:tableColumn id="7" name="VF static beam (m)"/>
    <x:tableColumn id="8" name="Δ beam (m)"/>
    <x:tableColumn id="9" name="Working GT"/>
    <x:tableColumn id="10" name="VF static GT"/>
    <x:tableColumn id="11" name="Δ GT"/>
    <x:tableColumn id="12" name="Builder delivery year"/>
    <x:tableColumn id="13" name="VF build year [checked]"/>
    <x:tableColumn id="14" name="Year difference"/>
    <x:tableColumn id="15" name="Review flag"/>
    <x:tableColumn id="16" name="Key interpretation"/>
    <x:tableColumn id="17" name="Source URLs"/>
  </x:tableColumns>
  <x:tableStyleInfo name="TableStyleMedium2" showFirstColumn="0" showLastColumn="0" showRowStripes="1" showColumnStripes="0"/>
</x:table>
</file>

<file path=xl/tables/table4.xml><?xml version="1.0" encoding="utf-8"?>
<x:table xmlns:x="http://schemas.openxmlformats.org/spreadsheetml/2006/main" id="4" name="BuildSequenceTable" displayName="BuildSequenceTable" ref="A4:I30" headerRowCount="1" totalsRowCount="0" totalsRowShown="0">
  <x:tableColumns count="9">
    <x:tableColumn id="1" name="Build code"/>
    <x:tableColumn id="2" name="Mapped vessel"/>
    <x:tableColumn id="3" name="IMO"/>
    <x:tableColumn id="4" name="Delivered (year)"/>
    <x:tableColumn id="5" name="Scope status"/>
    <x:tableColumn id="6" name="Mapping evidence type"/>
    <x:tableColumn id="7" name="Mapping source ID"/>
    <x:tableColumn id="8" name="Mapping source URL"/>
    <x:tableColumn id="9" name="Qualification"/>
  </x:tableColumns>
  <x:tableStyleInfo name="TableStyleMedium2" showFirstColumn="0" showLastColumn="0" showRowStripes="1" showColumnStripes="0"/>
</x:table>
</file>

<file path=xl/tables/table5.xml><?xml version="1.0" encoding="utf-8"?>
<x:table xmlns:x="http://schemas.openxmlformats.org/spreadsheetml/2006/main" id="5" name="FieldEvidenceTable" displayName="FieldEvidenceTable" ref="A4:K448" headerRowCount="1" totalsRowCount="0" totalsRowShown="0">
  <x:tableColumns count="11">
    <x:tableColumn id="1" name="Yard ID"/>
    <x:tableColumn id="2" name="Vessel"/>
    <x:tableColumn id="3" name="IMO"/>
    <x:tableColumn id="4" name="Field"/>
    <x:tableColumn id="5" name="Observed value"/>
    <x:tableColumn id="6" name="Unit"/>
    <x:tableColumn id="7" name="Observation basis"/>
    <x:tableColumn id="8" name="Qualification"/>
    <x:tableColumn id="9" name="Source ID"/>
    <x:tableColumn id="10" name="Source URL"/>
    <x:tableColumn id="11" name="Checked on"/>
  </x:tableColumns>
  <x:tableStyleInfo name="TableStyleMedium2" showFirstColumn="0" showLastColumn="0" showRowStripes="1" showColumnStripes="0"/>
</x:table>
</file>

<file path=xl/tables/table6.xml><?xml version="1.0" encoding="utf-8"?>
<x:table xmlns:x="http://schemas.openxmlformats.org/spreadsheetml/2006/main" id="7" name="SourcesTable" displayName="SourcesTable" ref="A4:H83" headerRowCount="1" totalsRowCount="0" totalsRowShown="0">
  <x:tableColumns count="8">
    <x:tableColumn id="1" name="Source ID"/>
    <x:tableColumn id="2" name="Publisher"/>
    <x:tableColumn id="3" name="Source type"/>
    <x:tableColumn id="4" name="Vessel / scope"/>
    <x:tableColumn id="5" name="Fields supported"/>
    <x:tableColumn id="6" name="Source URL"/>
    <x:tableColumn id="7" name="Access date"/>
    <x:tableColumn id="8" name="Limitations / context"/>
  </x:tableColumns>
  <x:tableStyleInfo name="TableStyleMedium2" showFirstColumn="0" showLastColumn="0" showRowStripes="1" showColumnStripes="0"/>
</x:table>
</file>

<file path=xl/tables/table7.xml><?xml version="1.0" encoding="utf-8"?>
<x:table xmlns:x="http://schemas.openxmlformats.org/spreadsheetml/2006/main" id="6" name="DataGapsTable" displayName="DataGapsTable" ref="A4:G26" headerRowCount="1" totalsRowCount="0" totalsRowShown="0">
  <x:tableColumns count="7">
    <x:tableColumn id="1" name="Priority"/>
    <x:tableColumn id="2" name="Scope / vessel"/>
    <x:tableColumn id="3" name="Field or issue"/>
    <x:tableColumn id="4" name="Treatment in this release"/>
    <x:tableColumn id="5" name="Evidence needed to close"/>
    <x:tableColumn id="6" name="Status"/>
    <x:tableColumn id="7" name="Source / refer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ca4bb353574831" /></Relationships>
</file>

<file path=xl/worksheets/_rels/sheet3.xml.rels>&#65279;<?xml version="1.0" encoding="utf-8"?><Relationships xmlns="http://schemas.openxmlformats.org/package/2006/relationships"><Relationship Type="http://schemas.openxmlformats.org/officeDocument/2006/relationships/table" Target="/xl/tables/table2.xml" Id="R2c838df8671f4e0a" /></Relationships>
</file>

<file path=xl/worksheets/_rels/sheet4.xml.rels>&#65279;<?xml version="1.0" encoding="utf-8"?><Relationships xmlns="http://schemas.openxmlformats.org/package/2006/relationships"><Relationship Type="http://schemas.openxmlformats.org/officeDocument/2006/relationships/table" Target="/xl/tables/table3.xml" Id="R1cf9005db6b94826" /></Relationships>
</file>

<file path=xl/worksheets/_rels/sheet5.xml.rels>&#65279;<?xml version="1.0" encoding="utf-8"?><Relationships xmlns="http://schemas.openxmlformats.org/package/2006/relationships"><Relationship Type="http://schemas.openxmlformats.org/officeDocument/2006/relationships/table" Target="/xl/tables/table4.xml" Id="R5d7dea1e852447e1" /></Relationships>
</file>

<file path=xl/worksheets/_rels/sheet6.xml.rels>&#65279;<?xml version="1.0" encoding="utf-8"?><Relationships xmlns="http://schemas.openxmlformats.org/package/2006/relationships"><Relationship Type="http://schemas.openxmlformats.org/officeDocument/2006/relationships/table" Target="/xl/tables/table5.xml" Id="R0adee001e58c4875" /></Relationships>
</file>

<file path=xl/worksheets/_rels/sheet7.xml.rels>&#65279;<?xml version="1.0" encoding="utf-8"?><Relationships xmlns="http://schemas.openxmlformats.org/package/2006/relationships"><Relationship Type="http://schemas.openxmlformats.org/officeDocument/2006/relationships/table" Target="/xl/tables/table6.xml" Id="R058c100447594710" /></Relationships>
</file>

<file path=xl/worksheets/_rels/sheet8.xml.rels>&#65279;<?xml version="1.0" encoding="utf-8"?><Relationships xmlns="http://schemas.openxmlformats.org/package/2006/relationships"><Relationship Type="http://schemas.openxmlformats.org/officeDocument/2006/relationships/table" Target="/xl/tables/table7.xml" Id="R5f3169ea887741a6" /></Relationships>
</file>

<file path=xl/worksheets/sheet1.xml><?xml version="1.0" encoding="utf-8"?>
<x:worksheet xmlns:x="http://schemas.openxmlformats.org/spreadsheetml/2006/main">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30" customHeight="1">
      <x:c r="A1" s="49" t="str">
        <x:v>OCEANCO  /  Y700 SERIES
VESSEL &amp; PARTICULARS REGISTER</x:v>
      </x:c>
      <x:c r="B1" s="49"/>
      <x:c r="C1" s="49"/>
      <x:c r="D1" s="49"/>
      <x:c r="E1" s="49"/>
      <x:c r="F1" s="49"/>
      <x:c r="G1" s="49"/>
      <x:c r="H1" s="49"/>
    </x:row>
    <x:row r="2" ht="30" customHeight="1">
      <x:c r="A2" s="49"/>
      <x:c r="B2" s="49"/>
      <x:c r="C2" s="49"/>
      <x:c r="D2" s="49"/>
      <x:c r="E2" s="49"/>
      <x:c r="F2" s="49"/>
      <x:c r="G2" s="49"/>
      <x:c r="H2" s="49"/>
    </x:row>
    <x:row r="3" ht="29" customHeight="1">
      <x:c r="A3" s="53" t="str">
        <x:v>PUBLIC-SOURCE WORKING REGISTER  •  25 SEPTEMBER 2026  •  VERSION 1.0</x:v>
      </x:c>
      <x:c r="B3" s="53"/>
      <x:c r="C3" s="53"/>
      <x:c r="D3" s="53"/>
      <x:c r="E3" s="53"/>
      <x:c r="F3" s="53"/>
      <x:c r="G3" s="53"/>
      <x:c r="H3" s="53"/>
    </x:row>
    <x:row r="4" ht="25" customHeight="1">
      <x:c r="A4" s="44"/>
      <x:c r="B4" s="44"/>
      <x:c r="C4" s="44"/>
      <x:c r="D4" s="44"/>
      <x:c r="E4" s="44"/>
      <x:c r="F4" s="44"/>
      <x:c r="G4" s="44"/>
      <x:c r="H4" s="44"/>
    </x:row>
    <x:row r="5" ht="26" customHeight="1">
      <x:c r="A5" s="16" t="str">
        <x:v>IDENTIFIED VESSELS</x:v>
      </x:c>
      <x:c r="B5" s="16"/>
      <x:c r="C5" s="16" t="str">
        <x:v>MMSI RECORDS</x:v>
      </x:c>
      <x:c r="D5" s="16"/>
      <x:c r="E5" s="16" t="str">
        <x:v>FIRST DELIVERY</x:v>
      </x:c>
      <x:c r="F5" s="16"/>
      <x:c r="G5" s="16" t="str">
        <x:v>LATEST DELIVERY</x:v>
      </x:c>
      <x:c r="H5" s="16"/>
    </x:row>
    <x:row r="6" ht="25" customHeight="1">
      <x:c r="A6" s="59" t="n">
        <x:f>COUNTA('Vessel Register'!B5:B26)</x:f>
        <x:v>22</x:v>
      </x:c>
      <x:c r="B6" s="59"/>
      <x:c r="C6" s="59" t="n">
        <x:f>COUNTA('Vessel Register'!G5:G26)</x:f>
        <x:v>22</x:v>
      </x:c>
      <x:c r="D6" s="59"/>
      <x:c r="E6" s="59" t="n">
        <x:f>MIN('Vessel Register'!D5:D26)</x:f>
        <x:v>2007</x:v>
      </x:c>
      <x:c r="F6" s="59"/>
      <x:c r="G6" s="59" t="n">
        <x:f>MAX('Vessel Register'!D5:D26)</x:f>
        <x:v>2025</x:v>
      </x:c>
      <x:c r="H6" s="59"/>
    </x:row>
    <x:row r="7" ht="25" customHeight="1">
      <x:c r="A7" s="59"/>
      <x:c r="B7" s="59"/>
      <x:c r="C7" s="59"/>
      <x:c r="D7" s="59"/>
      <x:c r="E7" s="59"/>
      <x:c r="F7" s="59"/>
      <x:c r="G7" s="59"/>
      <x:c r="H7" s="59"/>
    </x:row>
    <x:row r="8" ht="25" customHeight="1">
      <x:c r="A8" s="44"/>
      <x:c r="B8" s="44"/>
      <x:c r="C8" s="44"/>
      <x:c r="D8" s="44"/>
      <x:c r="E8" s="44"/>
      <x:c r="F8" s="44"/>
      <x:c r="G8" s="44"/>
      <x:c r="H8" s="44"/>
    </x:row>
    <x:row r="9" ht="27" customHeight="1">
      <x:c r="A9" s="62" t="str">
        <x:v>Scope: “seven series” is interpreted as Oceanco's Y7xx build family. The register maps 22 identified vessels between Y701 and Y726, delivered from 2007 to 2025. Y713, Y723, Y724 and Y725 remain unmapped; no project status is inferred from those gaps.</x:v>
      </x:c>
      <x:c r="B9" s="62"/>
      <x:c r="C9" s="62"/>
      <x:c r="D9" s="62"/>
      <x:c r="E9" s="62"/>
      <x:c r="F9" s="62"/>
      <x:c r="G9" s="62"/>
      <x:c r="H9" s="62"/>
    </x:row>
    <x:row r="10" ht="27" customHeight="1">
      <x:c r="A10" s="62"/>
      <x:c r="B10" s="62"/>
      <x:c r="C10" s="62"/>
      <x:c r="D10" s="62"/>
      <x:c r="E10" s="62"/>
      <x:c r="F10" s="62"/>
      <x:c r="G10" s="62"/>
      <x:c r="H10" s="62"/>
    </x:row>
    <x:row r="11" ht="25" customHeight="1">
      <x:c r="A11" s="44"/>
      <x:c r="B11" s="44"/>
      <x:c r="C11" s="44"/>
      <x:c r="D11" s="44"/>
      <x:c r="E11" s="44"/>
      <x:c r="F11" s="44"/>
      <x:c r="G11" s="44"/>
      <x:c r="H11" s="44"/>
    </x:row>
    <x:row r="12" ht="25" customHeight="1">
      <x:c r="A12" s="64" t="str">
        <x:v>WORKSHEET</x:v>
      </x:c>
      <x:c r="B12" s="64"/>
      <x:c r="C12" s="64" t="str">
        <x:v>WHAT IT CONTAINS</x:v>
      </x:c>
      <x:c r="D12" s="64"/>
      <x:c r="E12" s="64"/>
      <x:c r="F12" s="64"/>
      <x:c r="G12" s="64"/>
      <x:c r="H12" s="64"/>
    </x:row>
    <x:row r="13" ht="38" customHeight="1">
      <x:c r="A13" s="68" t="str">
        <x:v>Vessel Register</x:v>
      </x:c>
      <x:c r="B13" s="68"/>
      <x:c r="C13" s="62" t="str">
        <x:v>One row per IMO: name history, yard code, radio identity, flag, delivery year, overall dimensions, GT and source links.</x:v>
      </x:c>
      <x:c r="D13" s="62"/>
      <x:c r="E13" s="62"/>
      <x:c r="F13" s="62"/>
      <x:c r="G13" s="62"/>
      <x:c r="H13" s="62"/>
    </x:row>
    <x:row r="14" ht="38" customHeight="1">
      <x:c r="A14" s="66" t="str">
        <x:v>Technical Particulars</x:v>
      </x:c>
      <x:c r="B14" s="66"/>
      <x:c r="C14" s="44" t="str">
        <x:v>Comparable draft, machinery, materials, design, performance and accommodation fields where supported.</x:v>
      </x:c>
      <x:c r="D14" s="44"/>
      <x:c r="E14" s="44"/>
      <x:c r="F14" s="44"/>
      <x:c r="G14" s="44"/>
      <x:c r="H14" s="44"/>
    </x:row>
    <x:row r="15" ht="38" customHeight="1">
      <x:c r="A15" s="68" t="str">
        <x:v>Source Comparison</x:v>
      </x:c>
      <x:c r="B15" s="68"/>
      <x:c r="C15" s="62" t="str">
        <x:v>Selected public figures beside raw database values, with formula-driven differences and review flags.</x:v>
      </x:c>
      <x:c r="D15" s="62"/>
      <x:c r="E15" s="62"/>
      <x:c r="F15" s="62"/>
      <x:c r="G15" s="62"/>
      <x:c r="H15" s="62"/>
    </x:row>
    <x:row r="16" ht="38" customHeight="1">
      <x:c r="A16" s="66" t="str">
        <x:v>Build Sequence</x:v>
      </x:c>
      <x:c r="B16" s="66"/>
      <x:c r="C16" s="44" t="str">
        <x:v>A slot-by-slot Y701–Y726 cross-reference, including the four unresolved number gaps.</x:v>
      </x:c>
      <x:c r="D16" s="44"/>
      <x:c r="E16" s="44"/>
      <x:c r="F16" s="44"/>
      <x:c r="G16" s="44"/>
      <x:c r="H16" s="44"/>
    </x:row>
    <x:row r="17" ht="38" customHeight="1">
      <x:c r="A17" s="68" t="str">
        <x:v>Field Evidence</x:v>
      </x:c>
      <x:c r="B17" s="68"/>
      <x:c r="C17" s="62" t="str">
        <x:v>Every captured observation linked to its source, units, current/historical basis and caveat.</x:v>
      </x:c>
      <x:c r="D17" s="62"/>
      <x:c r="E17" s="62"/>
      <x:c r="F17" s="62"/>
      <x:c r="G17" s="62"/>
      <x:c r="H17" s="62"/>
    </x:row>
    <x:row r="18" ht="38" customHeight="1">
      <x:c r="A18" s="66" t="str">
        <x:v>Sources</x:v>
      </x:c>
      <x:c r="B18" s="66"/>
      <x:c r="C18" s="44" t="str">
        <x:v>Publisher, source type, URL, retrieval date and limitations for each source.</x:v>
      </x:c>
      <x:c r="D18" s="44"/>
      <x:c r="E18" s="44"/>
      <x:c r="F18" s="44"/>
      <x:c r="G18" s="44"/>
      <x:c r="H18" s="44"/>
    </x:row>
    <x:row r="19" ht="38" customHeight="1">
      <x:c r="A19" s="68" t="str">
        <x:v>Data Gaps</x:v>
      </x:c>
      <x:c r="B19" s="68"/>
      <x:c r="C19" s="62" t="str">
        <x:v>Certificate requirements, material conflicts, missing fields and an editable verification status.</x:v>
      </x:c>
      <x:c r="D19" s="62"/>
      <x:c r="E19" s="62"/>
      <x:c r="F19" s="62"/>
      <x:c r="G19" s="62"/>
      <x:c r="H19" s="62"/>
    </x:row>
    <x:row r="20" ht="25" customHeight="1">
      <x:c r="A20" s="44"/>
      <x:c r="B20" s="44"/>
      <x:c r="C20" s="44"/>
      <x:c r="D20" s="44"/>
      <x:c r="E20" s="44"/>
      <x:c r="F20" s="44"/>
      <x:c r="G20" s="44"/>
      <x:c r="H20" s="44"/>
    </x:row>
    <x:row r="21" ht="25" customHeight="1">
      <x:c r="A21" s="70" t="str">
        <x:v>READ BEFORE USING THE DATA</x:v>
      </x:c>
      <x:c r="B21" s="70"/>
      <x:c r="C21" s="70"/>
      <x:c r="D21" s="70"/>
      <x:c r="E21" s="70"/>
      <x:c r="F21" s="70"/>
      <x:c r="G21" s="70"/>
      <x:c r="H21" s="70"/>
    </x:row>
    <x:row r="22" ht="28" customHeight="1">
      <x:c r="A22" s="72" t="str">
        <x:v>Not certificate-verified. This is a researched public-source compilation, not an official builder, flag or class register. Current registry, radio, tonnage and class documents take precedence for operational use.</x:v>
      </x:c>
      <x:c r="B22" s="72"/>
      <x:c r="C22" s="72"/>
      <x:c r="D22" s="72"/>
      <x:c r="E22" s="72"/>
      <x:c r="F22" s="72"/>
      <x:c r="G22" s="72"/>
      <x:c r="H22" s="72"/>
    </x:row>
    <x:row r="23" ht="28" customHeight="1">
      <x:c r="A23" s="72"/>
      <x:c r="B23" s="72"/>
      <x:c r="C23" s="72"/>
      <x:c r="D23" s="72"/>
      <x:c r="E23" s="72"/>
      <x:c r="F23" s="72"/>
      <x:c r="G23" s="72"/>
      <x:c r="H23" s="72"/>
    </x:row>
    <x:row r="24" ht="28" customHeight="1">
      <x:c r="A24" s="62" t="str">
        <x:v>Selection policy: prefer current Oceanco overall dimensions; retain database dimensions separately. Prefer builder GT when explicitly published, otherwise record database GT as a working value. “Overall beam” is not automatically moulded breadth.</x:v>
      </x:c>
      <x:c r="B24" s="62"/>
      <x:c r="C24" s="62"/>
      <x:c r="D24" s="62"/>
      <x:c r="E24" s="62"/>
      <x:c r="F24" s="62"/>
      <x:c r="G24" s="62"/>
      <x:c r="H24" s="62"/>
    </x:row>
    <x:row r="25" ht="28" customHeight="1">
      <x:c r="A25" s="62"/>
      <x:c r="B25" s="62"/>
      <x:c r="C25" s="62"/>
      <x:c r="D25" s="62"/>
      <x:c r="E25" s="62"/>
      <x:c r="F25" s="62"/>
      <x:c r="G25" s="62"/>
      <x:c r="H25" s="62"/>
    </x:row>
    <x:row r="26" ht="28" customHeight="1">
      <x:c r="A26" s="62" t="str">
        <x:v>Identity and history: IMO is the linking key. Names, MMSI, call sign and flag are observations at retrieval and may change or be stale. Reused names do not identify the same hull. No live positions or voyage tracking are included.</x:v>
      </x:c>
      <x:c r="B26" s="62"/>
      <x:c r="C26" s="62"/>
      <x:c r="D26" s="62"/>
      <x:c r="E26" s="62"/>
      <x:c r="F26" s="62"/>
      <x:c r="G26" s="62"/>
      <x:c r="H26" s="62"/>
    </x:row>
    <x:row r="27" ht="28" customHeight="1">
      <x:c r="A27" s="62"/>
      <x:c r="B27" s="62"/>
      <x:c r="C27" s="62"/>
      <x:c r="D27" s="62"/>
      <x:c r="E27" s="62"/>
      <x:c r="F27" s="62"/>
      <x:c r="G27" s="62"/>
      <x:c r="H27" s="62"/>
    </x:row>
    <x:row r="28" ht="28" customHeight="1">
      <x:c r="A28" s="62" t="str">
        <x:v>Missing data: blank numeric fields and “Not verified” do not mean zero, absent or not fitted. No live AIS draught was used as design/max draught. Public guest counts are not certified maximum persons on board.</x:v>
      </x:c>
      <x:c r="B28" s="62"/>
      <x:c r="C28" s="62"/>
      <x:c r="D28" s="62"/>
      <x:c r="E28" s="62"/>
      <x:c r="F28" s="62"/>
      <x:c r="G28" s="62"/>
      <x:c r="H28" s="62"/>
    </x:row>
    <x:row r="29" ht="28" customHeight="1">
      <x:c r="A29" s="62"/>
      <x:c r="B29" s="62"/>
      <x:c r="C29" s="62"/>
      <x:c r="D29" s="62"/>
      <x:c r="E29" s="62"/>
      <x:c r="F29" s="62"/>
      <x:c r="G29" s="62"/>
      <x:c r="H29" s="62"/>
    </x:row>
    <x:row r="30" ht="28" customHeight="1">
      <x:c r="A30" s="62" t="str">
        <x:v>Units: length / beam / draft in metres; speeds in knots; range in nautical miles; deadweight in metric tonnes. GT is a dimensionless tonnage measure derived from enclosed volume, not the vessel's weight.</x:v>
      </x:c>
      <x:c r="B30" s="62"/>
      <x:c r="C30" s="62"/>
      <x:c r="D30" s="62"/>
      <x:c r="E30" s="62"/>
      <x:c r="F30" s="62"/>
      <x:c r="G30" s="62"/>
      <x:c r="H30" s="62"/>
    </x:row>
    <x:row r="31" ht="28" customHeight="1">
      <x:c r="A31" s="62"/>
      <x:c r="B31" s="62"/>
      <x:c r="C31" s="62"/>
      <x:c r="D31" s="62"/>
      <x:c r="E31" s="62"/>
      <x:c r="F31" s="62"/>
      <x:c r="G31" s="62"/>
      <x:c r="H31" s="62"/>
    </x:row>
    <x:row r="32" ht="28" customHeight="1">
      <x:c r="A32" s="72" t="str">
        <x:v>Priority checks: Draak's post-rebuild tonnage; DreAMBoat's 4,550 / 4,525GT difference; AQuiJo's tonnage/length variants; Seven Seas' conflicting database dimensions/year; Koru's published length/beam differences.</x:v>
      </x:c>
      <x:c r="B32" s="72"/>
      <x:c r="C32" s="72"/>
      <x:c r="D32" s="72"/>
      <x:c r="E32" s="72"/>
      <x:c r="F32" s="72"/>
      <x:c r="G32" s="72"/>
      <x:c r="H32" s="72"/>
    </x:row>
    <x:row r="33" ht="28" customHeight="1">
      <x:c r="A33" s="72"/>
      <x:c r="B33" s="72"/>
      <x:c r="C33" s="72"/>
      <x:c r="D33" s="72"/>
      <x:c r="E33" s="72"/>
      <x:c r="F33" s="72"/>
      <x:c r="G33" s="72"/>
      <x:c r="H33" s="72"/>
    </x:row>
    <x:row r="34" ht="28" customHeight="1">
      <x:c r="A34" s="62" t="str">
        <x:v>Update method: match by IMO; add each new observation and date to Field Evidence; keep previous observations; obtain a primary or statutory document to settle conflicts; then update the preferred value and its source. Do not overwrite unresolved alternatives.</x:v>
      </x:c>
      <x:c r="B34" s="62"/>
      <x:c r="C34" s="62"/>
      <x:c r="D34" s="62"/>
      <x:c r="E34" s="62"/>
      <x:c r="F34" s="62"/>
      <x:c r="G34" s="62"/>
      <x:c r="H34" s="62"/>
    </x:row>
    <x:row r="35" ht="28" customHeight="1">
      <x:c r="A35" s="62"/>
      <x:c r="B35" s="62"/>
      <x:c r="C35" s="62"/>
      <x:c r="D35" s="62"/>
      <x:c r="E35" s="62"/>
      <x:c r="F35" s="62"/>
      <x:c r="G35" s="62"/>
      <x:c r="H35" s="62"/>
    </x:row>
    <x:row r="36" ht="25" customHeight="1">
      <x:c r="A36" s="44"/>
      <x:c r="B36" s="44"/>
      <x:c r="C36" s="44"/>
      <x:c r="D36" s="44"/>
      <x:c r="E36" s="44"/>
      <x:c r="F36" s="44"/>
      <x:c r="G36" s="44"/>
      <x:c r="H36" s="44"/>
    </x:row>
    <x:row r="37" ht="25" customHeight="1">
      <x:c r="A37" s="74" t="str">
        <x:v>Evidence observations / source records</x:v>
      </x:c>
      <x:c r="B37" s="74"/>
      <x:c r="C37" s="74"/>
      <x:c r="D37" s="74"/>
      <x:c r="E37" s="74"/>
      <x:c r="F37" s="74"/>
      <x:c r="G37" s="74" t="n">
        <x:f>COUNTA('Field Evidence'!D5:D448)</x:f>
        <x:v>444</x:v>
      </x:c>
      <x:c r="H37" s="74" t="n">
        <x:f>COUNTA(Sources!A5:A83)</x:f>
        <x:v>79</x:v>
      </x:c>
    </x:row>
    <x:row r="38" ht="25" customHeight="1">
      <x:c r="A38" s="44"/>
      <x:c r="B38" s="44"/>
      <x:c r="C38" s="44"/>
      <x:c r="D38" s="44"/>
      <x:c r="E38" s="44"/>
      <x:c r="F38" s="44"/>
      <x:c r="G38" s="44"/>
      <x:c r="H38" s="44"/>
    </x:row>
    <x:row r="39" ht="30" customHeight="1">
      <x:c r="A39" s="76" t="str">
        <x:v>Method references: IMO_ID and IMO_GT in Sources. Research snapshot, not a guarantee of present registration or configuration.</x:v>
      </x:c>
      <x:c r="B39" s="76"/>
      <x:c r="C39" s="76"/>
      <x:c r="D39" s="76"/>
      <x:c r="E39" s="76"/>
      <x:c r="F39" s="76"/>
      <x:c r="G39" s="76"/>
      <x:c r="H39" s="76"/>
    </x:row>
  </x:sheetData>
  <x:mergeCells>
    <x:mergeCell ref="A1:H2"/>
    <x:mergeCell ref="A3:H3"/>
    <x:mergeCell ref="A5:B5"/>
    <x:mergeCell ref="A6:B7"/>
    <x:mergeCell ref="C5:D5"/>
    <x:mergeCell ref="C6:D7"/>
    <x:mergeCell ref="E5:F5"/>
    <x:mergeCell ref="E6:F7"/>
    <x:mergeCell ref="G5:H5"/>
    <x:mergeCell ref="G6:H7"/>
    <x:mergeCell ref="A9:H10"/>
    <x:mergeCell ref="A12:B12"/>
    <x:mergeCell ref="C12:H12"/>
    <x:mergeCell ref="A13:B13"/>
    <x:mergeCell ref="C13:H13"/>
    <x:mergeCell ref="A14:B14"/>
    <x:mergeCell ref="C14:H14"/>
    <x:mergeCell ref="A15:B15"/>
    <x:mergeCell ref="C15:H15"/>
    <x:mergeCell ref="A16:B16"/>
    <x:mergeCell ref="C16:H16"/>
    <x:mergeCell ref="A17:B17"/>
    <x:mergeCell ref="C17:H17"/>
    <x:mergeCell ref="A18:B18"/>
    <x:mergeCell ref="C18:H18"/>
    <x:mergeCell ref="A19:B19"/>
    <x:mergeCell ref="C19:H19"/>
    <x:mergeCell ref="A21:H21"/>
    <x:mergeCell ref="A22:H23"/>
    <x:mergeCell ref="A24:H25"/>
    <x:mergeCell ref="A26:H27"/>
    <x:mergeCell ref="A28:H29"/>
    <x:mergeCell ref="A30:H31"/>
    <x:mergeCell ref="A32:H33"/>
    <x:mergeCell ref="A34:H35"/>
    <x:mergeCell ref="A37:F37"/>
    <x:mergeCell ref="A39:H39"/>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3" hidden="0" customWidth="1"/>
    <x:col min="3" max="3" width="31" hidden="0" customWidth="1"/>
    <x:col min="4" max="4" width="13" hidden="0" customWidth="1"/>
    <x:col min="5" max="5" width="27" hidden="0" customWidth="1"/>
    <x:col min="6" max="6" width="13" hidden="0" customWidth="1"/>
    <x:col min="7" max="7" width="15" hidden="0" customWidth="1"/>
    <x:col min="8" max="8" width="13" hidden="0" customWidth="1"/>
    <x:col min="9" max="9" width="22" hidden="0" customWidth="1"/>
    <x:col min="10" max="10" width="13" hidden="0" customWidth="1"/>
    <x:col min="11" max="11" width="13" hidden="0" customWidth="1"/>
    <x:col min="12" max="12" width="14" hidden="0" customWidth="1"/>
    <x:col min="13" max="13" width="31" hidden="0" customWidth="1"/>
    <x:col min="14" max="14" width="38" hidden="0" customWidth="1"/>
    <x:col min="15" max="15" width="40" hidden="0" customWidth="1"/>
    <x:col min="16" max="16" width="40" hidden="0" customWidth="1"/>
    <x:col min="17" max="17" width="36" hidden="0" customWidth="1"/>
    <x:col min="18" max="18" width="36" hidden="0" customWidth="1"/>
    <x:col min="19" max="19" width="36" hidden="0" customWidth="1"/>
    <x:col min="20" max="20" width="15" hidden="0" customWidth="1"/>
  </x:cols>
  <x:sheetData>
    <x:row r="1" ht="38" customHeight="1">
      <x:c r="A1" s="9" t="str">
        <x:v>OCEANCO  |  Y700 VESSEL REGISTER</x:v>
      </x:c>
      <x:c r="B1" s="9"/>
      <x:c r="C1" s="9"/>
      <x:c r="D1" s="9"/>
      <x:c r="E1" s="9"/>
      <x:c r="F1" s="9"/>
      <x:c r="G1" s="9"/>
      <x:c r="H1" s="9"/>
      <x:c r="I1" s="9"/>
      <x:c r="J1" s="9"/>
      <x:c r="K1" s="9"/>
      <x:c r="L1" s="9"/>
      <x:c r="M1" s="9"/>
      <x:c r="N1" s="9"/>
      <x:c r="O1" s="9"/>
      <x:c r="P1" s="9"/>
      <x:c r="Q1" s="9"/>
      <x:c r="R1" s="9"/>
      <x:c r="S1" s="9"/>
      <x:c r="T1" s="9"/>
    </x:row>
    <x:row r="2" ht="36" customHeight="1">
      <x:c r="A2" s="12" t="str">
        <x:v>22 identified vessels • research snapshot 25 September 2026 • one record per IMO • public-source working data, not certificate-verified</x:v>
      </x:c>
      <x:c r="B2" s="12"/>
      <x:c r="C2" s="12"/>
      <x:c r="D2" s="12"/>
      <x:c r="E2" s="12"/>
      <x:c r="F2" s="12"/>
      <x:c r="G2" s="12"/>
      <x:c r="H2" s="12"/>
      <x:c r="I2" s="12"/>
      <x:c r="J2" s="12"/>
      <x:c r="K2" s="12"/>
      <x:c r="L2" s="12"/>
      <x:c r="M2" s="12"/>
      <x:c r="N2" s="12"/>
      <x:c r="O2" s="12"/>
      <x:c r="P2" s="12"/>
      <x:c r="Q2" s="12"/>
      <x:c r="R2" s="12"/>
      <x:c r="S2" s="12"/>
      <x:c r="T2" s="12"/>
    </x:row>
    <x:row r="3" ht="9" customHeight="1">
      <x:c r="A3" s="4"/>
      <x:c r="B3" s="4"/>
      <x:c r="C3" s="4"/>
      <x:c r="D3" s="4"/>
      <x:c r="E3" s="4"/>
      <x:c r="F3" s="4"/>
      <x:c r="G3" s="4"/>
      <x:c r="H3" s="4"/>
      <x:c r="I3" s="4"/>
      <x:c r="J3" s="4"/>
      <x:c r="K3" s="4"/>
      <x:c r="L3" s="4"/>
      <x:c r="M3" s="4"/>
      <x:c r="N3" s="4"/>
      <x:c r="O3" s="4"/>
      <x:c r="P3" s="4"/>
      <x:c r="Q3" s="4"/>
      <x:c r="R3" s="4"/>
      <x:c r="S3" s="4"/>
      <x:c r="T3" s="4"/>
    </x:row>
    <x:row r="4" ht="36" customHeight="1">
      <x:c r="A4" s="16" t="str">
        <x:v>Yard ID</x:v>
      </x:c>
      <x:c r="B4" s="16" t="str">
        <x:v>Published vessel name</x:v>
      </x:c>
      <x:c r="C4" s="16" t="str">
        <x:v>Former names / aliases</x:v>
      </x:c>
      <x:c r="D4" s="16" t="str">
        <x:v>Delivered (year)</x:v>
      </x:c>
      <x:c r="E4" s="16" t="str">
        <x:v>Vessel type</x:v>
      </x:c>
      <x:c r="F4" s="16" t="str">
        <x:v>IMO</x:v>
      </x:c>
      <x:c r="G4" s="16" t="str">
        <x:v>MMSI</x:v>
      </x:c>
      <x:c r="H4" s="16" t="str">
        <x:v>Call sign</x:v>
      </x:c>
      <x:c r="I4" s="16" t="str">
        <x:v>Published flag</x:v>
      </x:c>
      <x:c r="J4" s="16" t="str">
        <x:v>Preferred LOA (m)</x:v>
      </x:c>
      <x:c r="K4" s="16" t="str">
        <x:v>Preferred beam (m)</x:v>
      </x:c>
      <x:c r="L4" s="16" t="str">
        <x:v>Working GT</x:v>
      </x:c>
      <x:c r="M4" s="16" t="str">
        <x:v>LOA / beam basis</x:v>
      </x:c>
      <x:c r="N4" s="16" t="str">
        <x:v>GT basis / qualification</x:v>
      </x:c>
      <x:c r="O4" s="16" t="str">
        <x:v>Identity qualification</x:v>
      </x:c>
      <x:c r="P4" s="16" t="str">
        <x:v>Dimensions / name notes</x:v>
      </x:c>
      <x:c r="Q4" s="16" t="str">
        <x:v>Builder URL</x:v>
      </x:c>
      <x:c r="R4" s="16" t="str">
        <x:v>Database URL</x:v>
      </x:c>
      <x:c r="S4" s="16" t="str">
        <x:v>Identity supplement URL</x:v>
      </x:c>
      <x:c r="T4" s="16" t="str">
        <x:v>Checked on</x:v>
      </x:c>
    </x:row>
    <x:row r="5" ht="88" customHeight="1">
      <x:c r="A5" s="20" t="str">
        <x:v>Y701</x:v>
      </x:c>
      <x:c r="B5" s="20" t="str">
        <x:v>Batello</x:v>
      </x:c>
      <x:c r="C5" s="4" t="str">
        <x:v>Amevi; Aalto</x:v>
      </x:c>
      <x:c r="D5" s="4" t="n">
        <x:v>2007</x:v>
      </x:c>
      <x:c r="E5" s="4" t="str">
        <x:v>Motor yacht</x:v>
      </x:c>
      <x:c r="F5" s="22" t="str">
        <x:v>1009118</x:v>
      </x:c>
      <x:c r="G5" s="22" t="str">
        <x:v>538070869</x:v>
      </x:c>
      <x:c r="H5" s="22" t="str">
        <x:v>V7YZ2</x:v>
      </x:c>
      <x:c r="I5" s="4" t="str">
        <x:v>Marshall Islands</x:v>
      </x:c>
      <x:c r="J5" s="24" t="n">
        <x:v>80</x:v>
      </x:c>
      <x:c r="K5" s="24" t="n">
        <x:v>14.2</x:v>
      </x:c>
      <x:c r="L5" s="26" t="n">
        <x:v>2310</x:v>
      </x:c>
      <x:c r="M5" s="4" t="str">
        <x:v>Oceanco current fleet page (published overall dimensions)</x:v>
      </x:c>
      <x:c r="N5" s="4" t="str">
        <x:v>VesselFinder static particulars</x:v>
      </x:c>
      <x:c r="O5" s="4" t="str">
        <x:v>Published database identity; current registry/radio licence not inspected.</x:v>
      </x:c>
      <x:c r="P5" s="4" t="str">
        <x:v>Builder beam 14.2m vs database 12.0m. Broker top-speed values conflict (19/20kn).</x:v>
      </x:c>
      <x:c r="Q5" s="4" t="str">
        <x:v>https://www.oceancoyacht.com/fleet/batello/</x:v>
      </x:c>
      <x:c r="R5" s="4" t="str">
        <x:v>https://www.vesselfinder.com/vessels/details/1009118</x:v>
      </x:c>
      <x:c r="S5" s="4" t="str"/>
      <x:c r="T5" s="28" t="n">
        <x:v>46290</x:v>
      </x:c>
    </x:row>
    <x:row r="6" ht="88" customHeight="1">
      <x:c r="A6" s="20" t="str">
        <x:v>Y702</x:v>
      </x:c>
      <x:c r="B6" s="20" t="str">
        <x:v>Alfa Nero</x:v>
      </x:c>
      <x:c r="C6" s="4" t="str">
        <x:v>None identified</x:v>
      </x:c>
      <x:c r="D6" s="4" t="n">
        <x:v>2007</x:v>
      </x:c>
      <x:c r="E6" s="4" t="str">
        <x:v>Motor yacht</x:v>
      </x:c>
      <x:c r="F6" s="22" t="str">
        <x:v>1009376</x:v>
      </x:c>
      <x:c r="G6" s="22" t="str">
        <x:v>249108000</x:v>
      </x:c>
      <x:c r="H6" s="22" t="str">
        <x:v>9HA6112</x:v>
      </x:c>
      <x:c r="I6" s="4" t="str">
        <x:v>Malta</x:v>
      </x:c>
      <x:c r="J6" s="24" t="n">
        <x:v>82</x:v>
      </x:c>
      <x:c r="K6" s="24" t="n">
        <x:v>14.2</x:v>
      </x:c>
      <x:c r="L6" s="26" t="n">
        <x:v>2159</x:v>
      </x:c>
      <x:c r="M6" s="4" t="str">
        <x:v>Oceanco current fleet page (published overall dimensions)</x:v>
      </x:c>
      <x:c r="N6" s="4" t="str">
        <x:v>VesselFinder static particulars</x:v>
      </x:c>
      <x:c r="O6" s="4" t="str">
        <x:v>Published database identity; current registry/radio licence not inspected.</x:v>
      </x:c>
      <x:c r="P6" s="4" t="str">
        <x:v>Builder LOA 82m vs database 81.27m. Broker draft is not a certified maximum draft.</x:v>
      </x:c>
      <x:c r="Q6" s="4" t="str">
        <x:v>https://www.oceancoyacht.com/fleet/alfa-nero/</x:v>
      </x:c>
      <x:c r="R6" s="4" t="str">
        <x:v>https://www.vesselfinder.com/vessels/details/1009376</x:v>
      </x:c>
      <x:c r="S6" s="4" t="str"/>
      <x:c r="T6" s="28" t="n">
        <x:v>46290</x:v>
      </x:c>
    </x:row>
    <x:row r="7" ht="88" customHeight="1">
      <x:c r="A7" s="20" t="str">
        <x:v>Y703</x:v>
      </x:c>
      <x:c r="B7" s="20" t="str">
        <x:v>Wheels</x:v>
      </x:c>
      <x:c r="C7" s="4" t="str">
        <x:v>Anastasia</x:v>
      </x:c>
      <x:c r="D7" s="4" t="n">
        <x:v>2008</x:v>
      </x:c>
      <x:c r="E7" s="4" t="str">
        <x:v>Motor yacht</x:v>
      </x:c>
      <x:c r="F7" s="22" t="str">
        <x:v>1009388</x:v>
      </x:c>
      <x:c r="G7" s="22" t="str">
        <x:v>215279000</x:v>
      </x:c>
      <x:c r="H7" s="22" t="str">
        <x:v>9HA5036</x:v>
      </x:c>
      <x:c r="I7" s="4" t="str">
        <x:v>Malta</x:v>
      </x:c>
      <x:c r="J7" s="24" t="n">
        <x:v>75.5</x:v>
      </x:c>
      <x:c r="K7" s="24" t="n">
        <x:v>13.5</x:v>
      </x:c>
      <x:c r="L7" s="26" t="n">
        <x:v>1991</x:v>
      </x:c>
      <x:c r="M7" s="4" t="str">
        <x:v>Oceanco current fleet page (published overall dimensions)</x:v>
      </x:c>
      <x:c r="N7" s="4" t="str">
        <x:v>VesselFinder static particulars</x:v>
      </x:c>
      <x:c r="O7" s="4" t="str">
        <x:v>Published database identity; current registry/radio licence not inspected.</x:v>
      </x:c>
      <x:c r="P7" s="4" t="str">
        <x:v>Builder beam 13.5m; broker 13.49m; database 13.38m.</x:v>
      </x:c>
      <x:c r="Q7" s="4" t="str">
        <x:v>https://www.oceancoyacht.com/fleet/wheels/</x:v>
      </x:c>
      <x:c r="R7" s="4" t="str">
        <x:v>https://www.vesselfinder.com/vessels/details/1009388</x:v>
      </x:c>
      <x:c r="S7" s="4" t="str"/>
      <x:c r="T7" s="28" t="n">
        <x:v>46290</x:v>
      </x:c>
    </x:row>
    <x:row r="8" ht="88" customHeight="1">
      <x:c r="A8" s="20" t="str">
        <x:v>Y704</x:v>
      </x:c>
      <x:c r="B8" s="20" t="str">
        <x:v>Vibrant Curiosity</x:v>
      </x:c>
      <x:c r="C8" s="4" t="str">
        <x:v>None identified</x:v>
      </x:c>
      <x:c r="D8" s="4" t="n">
        <x:v>2009</x:v>
      </x:c>
      <x:c r="E8" s="4" t="str">
        <x:v>Motor yacht</x:v>
      </x:c>
      <x:c r="F8" s="22" t="str">
        <x:v>1010002</x:v>
      </x:c>
      <x:c r="G8" s="22" t="str">
        <x:v>248983000</x:v>
      </x:c>
      <x:c r="H8" s="22" t="str">
        <x:v>9HA4898</x:v>
      </x:c>
      <x:c r="I8" s="30" t="str">
        <x:v>Malta</x:v>
      </x:c>
      <x:c r="J8" s="24" t="n">
        <x:v>85.5</x:v>
      </x:c>
      <x:c r="K8" s="24" t="n">
        <x:v>14.2</x:v>
      </x:c>
      <x:c r="L8" s="26" t="n">
        <x:v>2822</x:v>
      </x:c>
      <x:c r="M8" s="4" t="str">
        <x:v>Oceanco current fleet page (published overall dimensions)</x:v>
      </x:c>
      <x:c r="N8" s="4" t="str">
        <x:v>VesselFinder static particulars</x:v>
      </x:c>
      <x:c r="O8" s="4" t="str">
        <x:v>Call sign supplemented from MarineTraffic; use IMO match, not legacy MMSI embedded in URL.</x:v>
      </x:c>
      <x:c r="P8" s="4" t="str">
        <x:v>Builder 85.5 x 14.2m; database 85.43 x 13.8m.</x:v>
      </x:c>
      <x:c r="Q8" s="4" t="str">
        <x:v>https://www.oceancoyacht.com/fleet/vibrant-curiosity/</x:v>
      </x:c>
      <x:c r="R8" s="4" t="str">
        <x:v>https://www.vesselfinder.com/vessels/details/1010002</x:v>
      </x:c>
      <x:c r="S8" s="4" t="str">
        <x:v>https://www.marinetraffic.com/es/ais/details/ships/shipid%3A194250/mmsi%3A235068366/imo%3A1010002/vessel%3AVIBRANT%20CURIOSITY</x:v>
      </x:c>
      <x:c r="T8" s="28" t="n">
        <x:v>46290</x:v>
      </x:c>
    </x:row>
    <x:row r="9" ht="88" customHeight="1">
      <x:c r="A9" s="20" t="str">
        <x:v>Y705</x:v>
      </x:c>
      <x:c r="B9" s="20" t="str">
        <x:v>Sunrays</x:v>
      </x:c>
      <x:c r="C9" s="4" t="str">
        <x:v>None identified</x:v>
      </x:c>
      <x:c r="D9" s="4" t="n">
        <x:v>2010</x:v>
      </x:c>
      <x:c r="E9" s="4" t="str">
        <x:v>Motor yacht</x:v>
      </x:c>
      <x:c r="F9" s="22" t="str">
        <x:v>1010351</x:v>
      </x:c>
      <x:c r="G9" s="22" t="str">
        <x:v>319015100</x:v>
      </x:c>
      <x:c r="H9" s="22" t="str">
        <x:v>ZGAF2</x:v>
      </x:c>
      <x:c r="I9" s="4" t="str">
        <x:v>Cayman Islands</x:v>
      </x:c>
      <x:c r="J9" s="24" t="n">
        <x:v>85.5</x:v>
      </x:c>
      <x:c r="K9" s="24" t="n">
        <x:v>14.2</x:v>
      </x:c>
      <x:c r="L9" s="26" t="n">
        <x:v>2867</x:v>
      </x:c>
      <x:c r="M9" s="4" t="str">
        <x:v>Oceanco current fleet page (published overall dimensions)</x:v>
      </x:c>
      <x:c r="N9" s="4" t="str">
        <x:v>VesselFinder static particulars</x:v>
      </x:c>
      <x:c r="O9" s="4" t="str">
        <x:v>Published database identity; current registry/radio licence not inspected.</x:v>
      </x:c>
      <x:c r="P9" s="4" t="str">
        <x:v>Builder beam 14.2m; Edmiston 13.8m; database 14.24m.</x:v>
      </x:c>
      <x:c r="Q9" s="4" t="str">
        <x:v>https://www.oceancoyacht.com/fleet/sunrays/</x:v>
      </x:c>
      <x:c r="R9" s="4" t="str">
        <x:v>https://www.vesselfinder.com/vessels/details/1010351</x:v>
      </x:c>
      <x:c r="S9" s="4" t="str"/>
      <x:c r="T9" s="28" t="n">
        <x:v>46290</x:v>
      </x:c>
    </x:row>
    <x:row r="10" ht="88" customHeight="1">
      <x:c r="A10" s="20" t="str">
        <x:v>Y706</x:v>
      </x:c>
      <x:c r="B10" s="20" t="str">
        <x:v>Man of Steel</x:v>
      </x:c>
      <x:c r="C10" s="4" t="str">
        <x:v>Seven Seas (86m)</x:v>
      </x:c>
      <x:c r="D10" s="4" t="n">
        <x:v>2010</x:v>
      </x:c>
      <x:c r="E10" s="4" t="str">
        <x:v>Motor yacht</x:v>
      </x:c>
      <x:c r="F10" s="22" t="str">
        <x:v>1010777</x:v>
      </x:c>
      <x:c r="G10" s="22" t="str">
        <x:v>319729000</x:v>
      </x:c>
      <x:c r="H10" s="22" t="str">
        <x:v>ZGAZ5</x:v>
      </x:c>
      <x:c r="I10" s="4" t="str">
        <x:v>Cayman Islands</x:v>
      </x:c>
      <x:c r="J10" s="24" t="n">
        <x:v>86</x:v>
      </x:c>
      <x:c r="K10" s="24" t="n">
        <x:v>14.2</x:v>
      </x:c>
      <x:c r="L10" s="26" t="n">
        <x:v>2658</x:v>
      </x:c>
      <x:c r="M10" s="4" t="str">
        <x:v>Oceanco fleet LOA; VF beam</x:v>
      </x:c>
      <x:c r="N10" s="4" t="str">
        <x:v>VesselFinder static particulars</x:v>
      </x:c>
      <x:c r="O10" s="4" t="str">
        <x:v>Published database identity; current registry/radio licence not inspected.</x:v>
      </x:c>
      <x:c r="P10" s="4" t="str">
        <x:v>LOA/year from builder fleet page; 14.2m beam from database because detail page unavailable.</x:v>
      </x:c>
      <x:c r="Q10" s="4" t="str">
        <x:v>https://www.oceancoyacht.com/fleet/?pag=2</x:v>
      </x:c>
      <x:c r="R10" s="4" t="str">
        <x:v>https://www.vesselfinder.com/vessels/details/1010777</x:v>
      </x:c>
      <x:c r="S10" s="4" t="str"/>
      <x:c r="T10" s="28" t="n">
        <x:v>46290</x:v>
      </x:c>
    </x:row>
    <x:row r="11" ht="88" customHeight="1">
      <x:c r="A11" s="20" t="str">
        <x:v>Y707</x:v>
      </x:c>
      <x:c r="B11" s="20" t="str">
        <x:v>Nirvana</x:v>
      </x:c>
      <x:c r="C11" s="4" t="str">
        <x:v>AIS name: MY NIRVANA</x:v>
      </x:c>
      <x:c r="D11" s="4" t="n">
        <x:v>2012</x:v>
      </x:c>
      <x:c r="E11" s="4" t="str">
        <x:v>Motor yacht</x:v>
      </x:c>
      <x:c r="F11" s="22" t="str">
        <x:v>1011202</x:v>
      </x:c>
      <x:c r="G11" s="22" t="str">
        <x:v>533132675</x:v>
      </x:c>
      <x:c r="H11" s="22" t="str">
        <x:v>9M3187</x:v>
      </x:c>
      <x:c r="I11" s="30" t="str">
        <x:v>Malaysia (AIS)</x:v>
      </x:c>
      <x:c r="J11" s="24" t="n">
        <x:v>88.5</x:v>
      </x:c>
      <x:c r="K11" s="24" t="n">
        <x:v>14.2</x:v>
      </x:c>
      <x:c r="L11" s="26" t="n">
        <x:v>2786</x:v>
      </x:c>
      <x:c r="M11" s="4" t="str">
        <x:v>Oceanco current fleet page (published overall dimensions)</x:v>
      </x:c>
      <x:c r="N11" s="4" t="str">
        <x:v>VesselFinder static particulars</x:v>
      </x:c>
      <x:c r="O11" s="4" t="str">
        <x:v>AIS header says Malaysia; static flag field says Unknown. Current registry certificate not checked.</x:v>
      </x:c>
      <x:c r="P11" s="4" t="str">
        <x:v>Builder LOA 88.5m; database 88.39m.</x:v>
      </x:c>
      <x:c r="Q11" s="4" t="str">
        <x:v>https://www.oceancoyacht.com/fleet/nirvana/</x:v>
      </x:c>
      <x:c r="R11" s="4" t="str">
        <x:v>https://www.vesselfinder.com/vessels/details/1011202</x:v>
      </x:c>
      <x:c r="S11" s="4" t="str"/>
      <x:c r="T11" s="28" t="n">
        <x:v>46290</x:v>
      </x:c>
    </x:row>
    <x:row r="12" ht="88" customHeight="1">
      <x:c r="A12" s="20" t="str">
        <x:v>Y708</x:v>
      </x:c>
      <x:c r="B12" s="20" t="str">
        <x:v>Amore Vero</x:v>
      </x:c>
      <x:c r="C12" s="4" t="str">
        <x:v>St. Princess Olga</x:v>
      </x:c>
      <x:c r="D12" s="4" t="n">
        <x:v>2013</x:v>
      </x:c>
      <x:c r="E12" s="4" t="str">
        <x:v>Motor yacht</x:v>
      </x:c>
      <x:c r="F12" s="22" t="str">
        <x:v>1011757</x:v>
      </x:c>
      <x:c r="G12" s="22" t="str">
        <x:v>533132553</x:v>
      </x:c>
      <x:c r="H12" s="22" t="str">
        <x:v>9M3050</x:v>
      </x:c>
      <x:c r="I12" s="30" t="str">
        <x:v>Malaysia (AIS)</x:v>
      </x:c>
      <x:c r="J12" s="24" t="n">
        <x:v>85.6</x:v>
      </x:c>
      <x:c r="K12" s="24" t="n">
        <x:v>14.2</x:v>
      </x:c>
      <x:c r="L12" s="26" t="n">
        <x:v>2744</x:v>
      </x:c>
      <x:c r="M12" s="4" t="str">
        <x:v>Oceanco current fleet page (published overall dimensions)</x:v>
      </x:c>
      <x:c r="N12" s="4" t="str">
        <x:v>VesselFinder static particulars</x:v>
      </x:c>
      <x:c r="O12" s="4" t="str">
        <x:v>AIS header says Malaysia; static flag field says Unknown. Current registry certificate not checked.</x:v>
      </x:c>
      <x:c r="P12" s="4" t="str">
        <x:v>Builder LOA 85.6m vs database 88.39m; do not merge these dimensions.</x:v>
      </x:c>
      <x:c r="Q12" s="4" t="str">
        <x:v>https://www.oceancoyacht.com/fleet/amore-vero/</x:v>
      </x:c>
      <x:c r="R12" s="4" t="str">
        <x:v>https://www.vesselfinder.com/vessels/details/1011757</x:v>
      </x:c>
      <x:c r="S12" s="4" t="str"/>
      <x:c r="T12" s="28" t="n">
        <x:v>46290</x:v>
      </x:c>
    </x:row>
    <x:row r="13" ht="88" customHeight="1">
      <x:c r="A13" s="20" t="str">
        <x:v>Y709</x:v>
      </x:c>
      <x:c r="B13" s="20" t="str">
        <x:v>Draak</x:v>
      </x:c>
      <x:c r="C13" s="4" t="str">
        <x:v>Equanimity; Tranquility</x:v>
      </x:c>
      <x:c r="D13" s="4" t="n">
        <x:v>2014</x:v>
      </x:c>
      <x:c r="E13" s="4" t="str">
        <x:v>Motor / expedition yacht</x:v>
      </x:c>
      <x:c r="F13" s="22" t="str">
        <x:v>1012086</x:v>
      </x:c>
      <x:c r="G13" s="22" t="str">
        <x:v>319059800</x:v>
      </x:c>
      <x:c r="H13" s="22" t="str">
        <x:v>ZGDQ</x:v>
      </x:c>
      <x:c r="I13" s="4" t="str">
        <x:v>Cayman Islands</x:v>
      </x:c>
      <x:c r="J13" s="24" t="n">
        <x:v>92.9</x:v>
      </x:c>
      <x:c r="K13" s="24" t="n">
        <x:v>14.5</x:v>
      </x:c>
      <x:c r="L13" s="32" t="n">
        <x:v>2894</x:v>
      </x:c>
      <x:c r="M13" s="30" t="str">
        <x:v>Oceanco current fleet page (published overall dimensions)</x:v>
      </x:c>
      <x:c r="N13" s="30" t="str">
        <x:v>VesselFinder static particulars — post-June 2026 rebuild not verified</x:v>
      </x:c>
      <x:c r="O13" s="4" t="str">
        <x:v>Published database identity; current registry/radio licence not inspected.</x:v>
      </x:c>
      <x:c r="P13" s="4" t="str">
        <x:v>Builder 92.9 x 14.5m after June 2026 rebuild. Database 91.5 x 14.6m / 2894GT may be pre-refit; obtain new ITC.</x:v>
      </x:c>
      <x:c r="Q13" s="4" t="str">
        <x:v>https://www.oceancoyacht.com/fleet/draak/</x:v>
      </x:c>
      <x:c r="R13" s="4" t="str">
        <x:v>https://www.vesselfinder.com/vessels/details/1012086</x:v>
      </x:c>
      <x:c r="S13" s="4" t="str"/>
      <x:c r="T13" s="28" t="n">
        <x:v>46290</x:v>
      </x:c>
    </x:row>
    <x:row r="14" ht="88" customHeight="1">
      <x:c r="A14" s="20" t="str">
        <x:v>Y710</x:v>
      </x:c>
      <x:c r="B14" s="20" t="str">
        <x:v>Samsara</x:v>
      </x:c>
      <x:c r="C14" s="4" t="str">
        <x:v>Infinity (89m); Cloud 9</x:v>
      </x:c>
      <x:c r="D14" s="4" t="n">
        <x:v>2015</x:v>
      </x:c>
      <x:c r="E14" s="4" t="str">
        <x:v>Motor yacht</x:v>
      </x:c>
      <x:c r="F14" s="22" t="str">
        <x:v>1012177</x:v>
      </x:c>
      <x:c r="G14" s="22" t="str">
        <x:v>319068100</x:v>
      </x:c>
      <x:c r="H14" s="22" t="str">
        <x:v>ZGEC5</x:v>
      </x:c>
      <x:c r="I14" s="30" t="str">
        <x:v>Cayman Islands</x:v>
      </x:c>
      <x:c r="J14" s="24" t="n">
        <x:v>89</x:v>
      </x:c>
      <x:c r="K14" s="24" t="n">
        <x:v>14.2</x:v>
      </x:c>
      <x:c r="L14" s="26" t="n">
        <x:v>2914</x:v>
      </x:c>
      <x:c r="M14" s="4" t="str">
        <x:v>Oceanco current fleet page (published overall dimensions)</x:v>
      </x:c>
      <x:c r="N14" s="4" t="str">
        <x:v>VesselFinder static particulars</x:v>
      </x:c>
      <x:c r="O14" s="4" t="str">
        <x:v>MMSI/call/flag supplemented from MagicPort; VesselFinder AIS identity header incomplete.</x:v>
      </x:c>
      <x:c r="P14" s="4" t="str">
        <x:v>Builder beam 14.2m vs database 14.0m. Distinct from 117m Infinity.</x:v>
      </x:c>
      <x:c r="Q14" s="4" t="str">
        <x:v>https://www.oceancoyacht.com/fleet/samsara/</x:v>
      </x:c>
      <x:c r="R14" s="4" t="str">
        <x:v>https://www.vesselfinder.com/vessels/details/1012177</x:v>
      </x:c>
      <x:c r="S14" s="4" t="str">
        <x:v>https://magicport.ai/vessels/pleasure-craft/samsara-mmsi-319068100</x:v>
      </x:c>
      <x:c r="T14" s="28" t="n">
        <x:v>46290</x:v>
      </x:c>
    </x:row>
    <x:row r="15" ht="88" customHeight="1">
      <x:c r="A15" s="20" t="str">
        <x:v>Y711</x:v>
      </x:c>
      <x:c r="B15" s="20" t="str">
        <x:v>AQuiJo</x:v>
      </x:c>
      <x:c r="C15" s="4" t="str">
        <x:v>None identified</x:v>
      </x:c>
      <x:c r="D15" s="4" t="n">
        <x:v>2016</x:v>
      </x:c>
      <x:c r="E15" s="4" t="str">
        <x:v>Sailing yacht / ketch</x:v>
      </x:c>
      <x:c r="F15" s="22" t="str">
        <x:v>1012529</x:v>
      </x:c>
      <x:c r="G15" s="22" t="str">
        <x:v>319085900</x:v>
      </x:c>
      <x:c r="H15" s="22" t="str">
        <x:v>ZGFC8</x:v>
      </x:c>
      <x:c r="I15" s="30" t="str">
        <x:v>Cayman Islands</x:v>
      </x:c>
      <x:c r="J15" s="24" t="n">
        <x:v>85</x:v>
      </x:c>
      <x:c r="K15" s="24" t="n">
        <x:v>14.5</x:v>
      </x:c>
      <x:c r="L15" s="32" t="n">
        <x:v>1540</x:v>
      </x:c>
      <x:c r="M15" s="30" t="str">
        <x:v>Oceanco current fleet page (published overall dimensions)</x:v>
      </x:c>
      <x:c r="N15" s="30" t="str">
        <x:v>VesselFinder static particulars — broker states 1,538GT</x:v>
      </x:c>
      <x:c r="O15" s="4" t="str">
        <x:v>VesselFinder showed an AIS report approximately 303 days old. Registration freshness not confirmed.</x:v>
      </x:c>
      <x:c r="P15" s="4" t="str">
        <x:v>Builder LOA 85m vs broker 86m. Database 1540GT vs Y.CO 1538GT; both unverified.</x:v>
      </x:c>
      <x:c r="Q15" s="4" t="str">
        <x:v>https://www.oceancoyacht.com/fleet/aquijo/</x:v>
      </x:c>
      <x:c r="R15" s="4" t="str">
        <x:v>https://www.vesselfinder.com/vessels/details/1012529</x:v>
      </x:c>
      <x:c r="S15" s="4" t="str"/>
      <x:c r="T15" s="28" t="n">
        <x:v>46290</x:v>
      </x:c>
    </x:row>
    <x:row r="16" ht="88" customHeight="1">
      <x:c r="A16" s="20" t="str">
        <x:v>Y712</x:v>
      </x:c>
      <x:c r="B16" s="20" t="str">
        <x:v>Black Pearl</x:v>
      </x:c>
      <x:c r="C16" s="4" t="str">
        <x:v>None identified</x:v>
      </x:c>
      <x:c r="D16" s="4" t="n">
        <x:v>2018</x:v>
      </x:c>
      <x:c r="E16" s="4" t="str">
        <x:v>Sailing yacht / DynaRig</x:v>
      </x:c>
      <x:c r="F16" s="22" t="str">
        <x:v>1012490</x:v>
      </x:c>
      <x:c r="G16" s="22" t="str">
        <x:v>319113100</x:v>
      </x:c>
      <x:c r="H16" s="22" t="str">
        <x:v>ZGGH7</x:v>
      </x:c>
      <x:c r="I16" s="4" t="str">
        <x:v>Cayman Islands</x:v>
      </x:c>
      <x:c r="J16" s="24" t="n">
        <x:v>106.7</x:v>
      </x:c>
      <x:c r="K16" s="24" t="n">
        <x:v>15</x:v>
      </x:c>
      <x:c r="L16" s="26" t="n">
        <x:v>2864</x:v>
      </x:c>
      <x:c r="M16" s="4" t="str">
        <x:v>Oceanco current fleet page (published overall dimensions)</x:v>
      </x:c>
      <x:c r="N16" s="4" t="str">
        <x:v>VesselFinder static particulars</x:v>
      </x:c>
      <x:c r="O16" s="4" t="str">
        <x:v>Published database identity; current registry/radio licence not inspected.</x:v>
      </x:c>
      <x:c r="P16" s="4" t="str">
        <x:v>Builder 106.7m vs database 105m. Builder 2018 is delivery, not launch. 30kn is sailing, not engine speed.</x:v>
      </x:c>
      <x:c r="Q16" s="4" t="str">
        <x:v>https://www.oceancoyacht.com/fleet/black-pearl/</x:v>
      </x:c>
      <x:c r="R16" s="4" t="str">
        <x:v>https://www.vesselfinder.com/vessels/details/1012490</x:v>
      </x:c>
      <x:c r="S16" s="4" t="str"/>
      <x:c r="T16" s="28" t="n">
        <x:v>46290</x:v>
      </x:c>
    </x:row>
    <x:row r="17" ht="88" customHeight="1">
      <x:c r="A17" s="20" t="str">
        <x:v>Y714</x:v>
      </x:c>
      <x:c r="B17" s="20" t="str">
        <x:v>KAOS</x:v>
      </x:c>
      <x:c r="C17" s="4" t="str">
        <x:v>Jubilee</x:v>
      </x:c>
      <x:c r="D17" s="4" t="n">
        <x:v>2017</x:v>
      </x:c>
      <x:c r="E17" s="4" t="str">
        <x:v>Motor yacht</x:v>
      </x:c>
      <x:c r="F17" s="22" t="str">
        <x:v>1012610</x:v>
      </x:c>
      <x:c r="G17" s="22" t="str">
        <x:v>339302000</x:v>
      </x:c>
      <x:c r="H17" s="22" t="str">
        <x:v>6YVQ2</x:v>
      </x:c>
      <x:c r="I17" s="4" t="str">
        <x:v>Jamaica</x:v>
      </x:c>
      <x:c r="J17" s="24" t="n">
        <x:v>110</x:v>
      </x:c>
      <x:c r="K17" s="24" t="n">
        <x:v>16.4</x:v>
      </x:c>
      <x:c r="L17" s="26" t="n">
        <x:v>4523</x:v>
      </x:c>
      <x:c r="M17" s="4" t="str">
        <x:v>Oceanco current fleet page (published overall dimensions)</x:v>
      </x:c>
      <x:c r="N17" s="4" t="str">
        <x:v>VesselFinder static particulars</x:v>
      </x:c>
      <x:c r="O17" s="4" t="str">
        <x:v>Published database identity; current registry/radio licence not inspected.</x:v>
      </x:c>
      <x:c r="P17" s="4" t="str">
        <x:v>Builder LOA 110m vs database 105m; beam 16.4m vs 16m. Interior credit is original build.</x:v>
      </x:c>
      <x:c r="Q17" s="4" t="str">
        <x:v>https://www.oceancoyacht.com/fleet/kaos/</x:v>
      </x:c>
      <x:c r="R17" s="4" t="str">
        <x:v>https://www.vesselfinder.com/vessels/details/1012610</x:v>
      </x:c>
      <x:c r="S17" s="4" t="str"/>
      <x:c r="T17" s="28" t="n">
        <x:v>46290</x:v>
      </x:c>
    </x:row>
    <x:row r="18" ht="88" customHeight="1">
      <x:c r="A18" s="20" t="str">
        <x:v>Y715</x:v>
      </x:c>
      <x:c r="B18" s="20" t="str">
        <x:v>Barbara</x:v>
      </x:c>
      <x:c r="C18" s="4" t="str">
        <x:v>None identified</x:v>
      </x:c>
      <x:c r="D18" s="4" t="n">
        <x:v>2017</x:v>
      </x:c>
      <x:c r="E18" s="4" t="str">
        <x:v>Motor yacht</x:v>
      </x:c>
      <x:c r="F18" s="22" t="str">
        <x:v>1012725</x:v>
      </x:c>
      <x:c r="G18" s="22" t="str">
        <x:v>319104200</x:v>
      </x:c>
      <x:c r="H18" s="22" t="str">
        <x:v>ZGFN2</x:v>
      </x:c>
      <x:c r="I18" s="4" t="str">
        <x:v>Cayman Islands</x:v>
      </x:c>
      <x:c r="J18" s="24" t="n">
        <x:v>88.5</x:v>
      </x:c>
      <x:c r="K18" s="24" t="n">
        <x:v>14.5</x:v>
      </x:c>
      <x:c r="L18" s="26" t="n">
        <x:v>2984</x:v>
      </x:c>
      <x:c r="M18" s="4" t="str">
        <x:v>Oceanco current fleet page (published overall dimensions)</x:v>
      </x:c>
      <x:c r="N18" s="4" t="str">
        <x:v>VesselFinder static particulars</x:v>
      </x:c>
      <x:c r="O18" s="4" t="str">
        <x:v>Published database identity; current registry/radio licence not inspected.</x:v>
      </x:c>
      <x:c r="P18" s="4" t="str">
        <x:v>Builder beam 14.5m; designer as-built 14.2m; database 14.45m. Supplemental data is 2017 configuration.</x:v>
      </x:c>
      <x:c r="Q18" s="4" t="str">
        <x:v>https://www.oceancoyacht.com/fleet/barbara/</x:v>
      </x:c>
      <x:c r="R18" s="4" t="str">
        <x:v>https://www.vesselfinder.com/vessels/details/1012725</x:v>
      </x:c>
      <x:c r="S18" s="4" t="str"/>
      <x:c r="T18" s="28" t="n">
        <x:v>46290</x:v>
      </x:c>
    </x:row>
    <x:row r="19" ht="88" customHeight="1">
      <x:c r="A19" s="20" t="str">
        <x:v>Y716</x:v>
      </x:c>
      <x:c r="B19" s="20" t="str">
        <x:v>SHODAN</x:v>
      </x:c>
      <x:c r="C19" s="4" t="str">
        <x:v>DreAMBoat (90m)</x:v>
      </x:c>
      <x:c r="D19" s="4" t="n">
        <x:v>2019</x:v>
      </x:c>
      <x:c r="E19" s="4" t="str">
        <x:v>Motor yacht</x:v>
      </x:c>
      <x:c r="F19" s="22" t="str">
        <x:v>1012919</x:v>
      </x:c>
      <x:c r="G19" s="22" t="str">
        <x:v>319151300</x:v>
      </x:c>
      <x:c r="H19" s="22" t="str">
        <x:v>ZGIC7</x:v>
      </x:c>
      <x:c r="I19" s="4" t="str">
        <x:v>Cayman Islands</x:v>
      </x:c>
      <x:c r="J19" s="24" t="n">
        <x:v>90</x:v>
      </x:c>
      <x:c r="K19" s="24" t="n">
        <x:v>14.2</x:v>
      </x:c>
      <x:c r="L19" s="26" t="n">
        <x:v>2946</x:v>
      </x:c>
      <x:c r="M19" s="4" t="str">
        <x:v>Oceanco current fleet page (published overall dimensions)</x:v>
      </x:c>
      <x:c r="N19" s="4" t="str">
        <x:v>VesselFinder static particulars</x:v>
      </x:c>
      <x:c r="O19" s="4" t="str">
        <x:v>Published database identity; current registry/radio licence not inspected.</x:v>
      </x:c>
      <x:c r="P19" s="4" t="str">
        <x:v>Former 90m DreAMBoat; separate IMO and yard number from 111m DreAMBoat (Y726).</x:v>
      </x:c>
      <x:c r="Q19" s="4" t="str">
        <x:v>https://www.oceancoyacht.com/fleet/shodan/</x:v>
      </x:c>
      <x:c r="R19" s="4" t="str">
        <x:v>https://www.vesselfinder.com/vessels/details/1012919</x:v>
      </x:c>
      <x:c r="S19" s="4" t="str"/>
      <x:c r="T19" s="28" t="n">
        <x:v>46290</x:v>
      </x:c>
    </x:row>
    <x:row r="20" ht="88" customHeight="1">
      <x:c r="A20" s="20" t="str">
        <x:v>Y717</x:v>
      </x:c>
      <x:c r="B20" s="20" t="str">
        <x:v>LUNA</x:v>
      </x:c>
      <x:c r="C20" s="4" t="str">
        <x:v>Dar</x:v>
      </x:c>
      <x:c r="D20" s="4" t="n">
        <x:v>2018</x:v>
      </x:c>
      <x:c r="E20" s="4" t="str">
        <x:v>Motor yacht</x:v>
      </x:c>
      <x:c r="F20" s="22" t="str">
        <x:v>1013066</x:v>
      </x:c>
      <x:c r="G20" s="22" t="str">
        <x:v>319133300</x:v>
      </x:c>
      <x:c r="H20" s="22" t="str">
        <x:v>ZGHL5</x:v>
      </x:c>
      <x:c r="I20" s="4" t="str">
        <x:v>Cayman Islands</x:v>
      </x:c>
      <x:c r="J20" s="24" t="n">
        <x:v>90</x:v>
      </x:c>
      <x:c r="K20" s="24" t="n">
        <x:v>14.2</x:v>
      </x:c>
      <x:c r="L20" s="26" t="n">
        <x:v>2926</x:v>
      </x:c>
      <x:c r="M20" s="4" t="str">
        <x:v>Oceanco current fleet page (published overall dimensions)</x:v>
      </x:c>
      <x:c r="N20" s="4" t="str">
        <x:v>VesselFinder static particulars</x:v>
      </x:c>
      <x:c r="O20" s="4" t="str">
        <x:v>Published database identity; current registry/radio licence not inspected.</x:v>
      </x:c>
      <x:c r="P20" s="4" t="str">
        <x:v>Builder rounds LOA to 90m; Y.CO/database give 90.13m. Database beam 13.8m vs builder 14.2m.</x:v>
      </x:c>
      <x:c r="Q20" s="4" t="str">
        <x:v>https://www.oceancoyacht.com/fleet/luna/</x:v>
      </x:c>
      <x:c r="R20" s="4" t="str">
        <x:v>https://www.vesselfinder.com/vessels/details/1013066</x:v>
      </x:c>
      <x:c r="S20" s="4" t="str"/>
      <x:c r="T20" s="28" t="n">
        <x:v>46290</x:v>
      </x:c>
    </x:row>
    <x:row r="21" ht="88" customHeight="1">
      <x:c r="A21" s="20" t="str">
        <x:v>Y718</x:v>
      </x:c>
      <x:c r="B21" s="20" t="str">
        <x:v>Bravo Eugenia</x:v>
      </x:c>
      <x:c r="C21" s="4" t="str">
        <x:v>None identified</x:v>
      </x:c>
      <x:c r="D21" s="4" t="n">
        <x:v>2018</x:v>
      </x:c>
      <x:c r="E21" s="4" t="str">
        <x:v>Motor yacht / hybrid</x:v>
      </x:c>
      <x:c r="F21" s="22" t="str">
        <x:v>1012921</x:v>
      </x:c>
      <x:c r="G21" s="22" t="str">
        <x:v>319156800</x:v>
      </x:c>
      <x:c r="H21" s="22" t="str">
        <x:v>ZGIL4</x:v>
      </x:c>
      <x:c r="I21" s="4" t="str">
        <x:v>Cayman Islands</x:v>
      </x:c>
      <x:c r="J21" s="24" t="n">
        <x:v>109</x:v>
      </x:c>
      <x:c r="K21" s="24" t="n">
        <x:v>16.3</x:v>
      </x:c>
      <x:c r="L21" s="26" t="n">
        <x:v>3418</x:v>
      </x:c>
      <x:c r="M21" s="4" t="str">
        <x:v>Oceanco current fleet page (published overall dimensions)</x:v>
      </x:c>
      <x:c r="N21" s="4" t="str">
        <x:v>VesselFinder static particulars</x:v>
      </x:c>
      <x:c r="O21" s="4" t="str">
        <x:v>Published database identity; current registry/radio licence not inspected.</x:v>
      </x:c>
      <x:c r="P21" s="4" t="str">
        <x:v>Builder beam 16.3m vs database 16m.</x:v>
      </x:c>
      <x:c r="Q21" s="4" t="str">
        <x:v>https://www.oceancoyacht.com/fleet/bravo-eugenia/</x:v>
      </x:c>
      <x:c r="R21" s="4" t="str">
        <x:v>https://www.vesselfinder.com/vessels/details/1012921</x:v>
      </x:c>
      <x:c r="S21" s="4" t="str"/>
      <x:c r="T21" s="28" t="n">
        <x:v>46290</x:v>
      </x:c>
    </x:row>
    <x:row r="22" ht="88" customHeight="1">
      <x:c r="A22" s="20" t="str">
        <x:v>Y719</x:v>
      </x:c>
      <x:c r="B22" s="20" t="str">
        <x:v>Infinity</x:v>
      </x:c>
      <x:c r="C22" s="4" t="str">
        <x:v>None identified</x:v>
      </x:c>
      <x:c r="D22" s="4" t="n">
        <x:v>2022</x:v>
      </x:c>
      <x:c r="E22" s="4" t="str">
        <x:v>Motor yacht</x:v>
      </x:c>
      <x:c r="F22" s="22" t="str">
        <x:v>9817896</x:v>
      </x:c>
      <x:c r="G22" s="22" t="str">
        <x:v>319208000</x:v>
      </x:c>
      <x:c r="H22" s="22" t="str">
        <x:v>ZGKZ3</x:v>
      </x:c>
      <x:c r="I22" s="4" t="str">
        <x:v>Cayman Islands</x:v>
      </x:c>
      <x:c r="J22" s="24" t="n">
        <x:v>117</x:v>
      </x:c>
      <x:c r="K22" s="24" t="n">
        <x:v>16.5</x:v>
      </x:c>
      <x:c r="L22" s="26" t="n">
        <x:v>4978</x:v>
      </x:c>
      <x:c r="M22" s="4" t="str">
        <x:v>Oceanco current fleet page (published overall dimensions)</x:v>
      </x:c>
      <x:c r="N22" s="4" t="str">
        <x:v>VesselFinder static particulars</x:v>
      </x:c>
      <x:c r="O22" s="4" t="str">
        <x:v>Published database identity; current registry/radio licence not inspected.</x:v>
      </x:c>
      <x:c r="P22" s="4" t="str">
        <x:v>Builder beam 16.5m vs database 17m. Distinct from original 89m Infinity (now Samsara).</x:v>
      </x:c>
      <x:c r="Q22" s="4" t="str">
        <x:v>https://www.oceancoyacht.com/fleet/infinity/</x:v>
      </x:c>
      <x:c r="R22" s="4" t="str">
        <x:v>https://www.vesselfinder.com/vessels/details/9817896</x:v>
      </x:c>
      <x:c r="S22" s="4" t="str"/>
      <x:c r="T22" s="28" t="n">
        <x:v>46290</x:v>
      </x:c>
    </x:row>
    <x:row r="23" ht="88" customHeight="1">
      <x:c r="A23" s="20" t="str">
        <x:v>Y720</x:v>
      </x:c>
      <x:c r="B23" s="20" t="str">
        <x:v>Seven Seas</x:v>
      </x:c>
      <x:c r="C23" s="4" t="str">
        <x:v>None identified</x:v>
      </x:c>
      <x:c r="D23" s="4" t="n">
        <x:v>2023</x:v>
      </x:c>
      <x:c r="E23" s="4" t="str">
        <x:v>Motor yacht</x:v>
      </x:c>
      <x:c r="F23" s="22" t="str">
        <x:v>9840178</x:v>
      </x:c>
      <x:c r="G23" s="22" t="str">
        <x:v>319225300</x:v>
      </x:c>
      <x:c r="H23" s="22" t="str">
        <x:v>ZGQC2</x:v>
      </x:c>
      <x:c r="I23" s="4" t="str">
        <x:v>Cayman Islands</x:v>
      </x:c>
      <x:c r="J23" s="24" t="n">
        <x:v>109</x:v>
      </x:c>
      <x:c r="K23" s="24" t="n">
        <x:v>16</x:v>
      </x:c>
      <x:c r="L23" s="26" t="n">
        <x:v>4444</x:v>
      </x:c>
      <x:c r="M23" s="4" t="str">
        <x:v>Oceanco current fleet page (published overall dimensions)</x:v>
      </x:c>
      <x:c r="N23" s="4" t="str">
        <x:v>VesselFinder static particulars</x:v>
      </x:c>
      <x:c r="O23" s="4" t="str">
        <x:v>Published database identity; current registry/radio licence not inspected.</x:v>
      </x:c>
      <x:c r="P23" s="4" t="str">
        <x:v>Database static 125 x 17m / 2022 is quarantined. Builder 109 x 16m / 2023; database AIS dimensions also 109 x 16m.</x:v>
      </x:c>
      <x:c r="Q23" s="4" t="str">
        <x:v>https://www.oceancoyacht.com/fleet/seven-seas/</x:v>
      </x:c>
      <x:c r="R23" s="4" t="str">
        <x:v>https://www.vesselfinder.com/vessels/details/9840178</x:v>
      </x:c>
      <x:c r="S23" s="4" t="str"/>
      <x:c r="T23" s="28" t="n">
        <x:v>46290</x:v>
      </x:c>
    </x:row>
    <x:row r="24" ht="88" customHeight="1">
      <x:c r="A24" s="20" t="str">
        <x:v>Y721</x:v>
      </x:c>
      <x:c r="B24" s="20" t="str">
        <x:v>Koru</x:v>
      </x:c>
      <x:c r="C24" s="4" t="str">
        <x:v>None identified</x:v>
      </x:c>
      <x:c r="D24" s="4" t="n">
        <x:v>2023</x:v>
      </x:c>
      <x:c r="E24" s="4" t="str">
        <x:v>Sailing yacht / schooner</x:v>
      </x:c>
      <x:c r="F24" s="22" t="str">
        <x:v>9857298</x:v>
      </x:c>
      <x:c r="G24" s="22" t="str">
        <x:v>319225400</x:v>
      </x:c>
      <x:c r="H24" s="22" t="str">
        <x:v>ZGQC5</x:v>
      </x:c>
      <x:c r="I24" s="4" t="str">
        <x:v>Cayman Islands</x:v>
      </x:c>
      <x:c r="J24" s="24" t="n">
        <x:v>125</x:v>
      </x:c>
      <x:c r="K24" s="24" t="n">
        <x:v>17.2</x:v>
      </x:c>
      <x:c r="L24" s="26" t="n">
        <x:v>3493</x:v>
      </x:c>
      <x:c r="M24" s="4" t="str">
        <x:v>Oceanco current fleet page (published overall dimensions)</x:v>
      </x:c>
      <x:c r="N24" s="4" t="str">
        <x:v>VesselFinder static particulars</x:v>
      </x:c>
      <x:c r="O24" s="4" t="str">
        <x:v>Published database identity; current registry/radio licence not inspected.</x:v>
      </x:c>
      <x:c r="P24" s="4" t="str">
        <x:v>Builder 125 x 17.2m. Lateral title says 125m, body 127 x 16m. Database beam 17m.</x:v>
      </x:c>
      <x:c r="Q24" s="4" t="str">
        <x:v>https://www.oceancoyacht.com/fleet/koru/</x:v>
      </x:c>
      <x:c r="R24" s="4" t="str">
        <x:v>https://www.vesselfinder.com/vessels/details/9857298</x:v>
      </x:c>
      <x:c r="S24" s="4" t="str"/>
      <x:c r="T24" s="28" t="n">
        <x:v>46290</x:v>
      </x:c>
    </x:row>
    <x:row r="25" ht="88" customHeight="1">
      <x:c r="A25" s="20" t="str">
        <x:v>Y722</x:v>
      </x:c>
      <x:c r="B25" s="20" t="str">
        <x:v>Leviathan</x:v>
      </x:c>
      <x:c r="C25" s="4" t="str">
        <x:v>None identified</x:v>
      </x:c>
      <x:c r="D25" s="4" t="n">
        <x:v>2025</x:v>
      </x:c>
      <x:c r="E25" s="4" t="str">
        <x:v>Motor yacht / diesel-electric</x:v>
      </x:c>
      <x:c r="F25" s="22" t="str">
        <x:v>9921491</x:v>
      </x:c>
      <x:c r="G25" s="22" t="str">
        <x:v>319324100</x:v>
      </x:c>
      <x:c r="H25" s="22" t="str">
        <x:v>ZGUZ3</x:v>
      </x:c>
      <x:c r="I25" s="4" t="str">
        <x:v>Cayman Islands</x:v>
      </x:c>
      <x:c r="J25" s="24" t="n">
        <x:v>111</x:v>
      </x:c>
      <x:c r="K25" s="24" t="n">
        <x:v>17.8</x:v>
      </x:c>
      <x:c r="L25" s="26" t="n">
        <x:v>4970</x:v>
      </x:c>
      <x:c r="M25" s="4" t="str">
        <x:v>Oceanco current fleet page (published overall dimensions)</x:v>
      </x:c>
      <x:c r="N25" s="4" t="str">
        <x:v>Oceanco / Lateral publication</x:v>
      </x:c>
      <x:c r="O25" s="4" t="str">
        <x:v>Published database identity; current registry/radio licence not inspected.</x:v>
      </x:c>
      <x:c r="P25" s="4" t="str">
        <x:v>Builder/Lateral 111 x 17.8m; database 110 x 15m. Builder and database agree 4970GT.</x:v>
      </x:c>
      <x:c r="Q25" s="4" t="str">
        <x:v>https://www.oceancoyacht.com/fleet/leviathan/</x:v>
      </x:c>
      <x:c r="R25" s="4" t="str">
        <x:v>https://www.vesselfinder.com/vessels/details/9921491</x:v>
      </x:c>
      <x:c r="S25" s="4" t="str"/>
      <x:c r="T25" s="28" t="n">
        <x:v>46290</x:v>
      </x:c>
    </x:row>
    <x:row r="26" ht="88" customHeight="1">
      <x:c r="A26" s="20" t="str">
        <x:v>Y726</x:v>
      </x:c>
      <x:c r="B26" s="20" t="str">
        <x:v>DreAMBoat</x:v>
      </x:c>
      <x:c r="C26" s="4" t="str">
        <x:v>Database build alias: ALBLASSERDAM726</x:v>
      </x:c>
      <x:c r="D26" s="4" t="n">
        <x:v>2025</x:v>
      </x:c>
      <x:c r="E26" s="4" t="str">
        <x:v>Motor yacht</x:v>
      </x:c>
      <x:c r="F26" s="22" t="str">
        <x:v>9967093</x:v>
      </x:c>
      <x:c r="G26" s="22" t="str">
        <x:v>319305800</x:v>
      </x:c>
      <x:c r="H26" s="22" t="str">
        <x:v>ZGRP2</x:v>
      </x:c>
      <x:c r="I26" s="4" t="str">
        <x:v>Cayman Islands</x:v>
      </x:c>
      <x:c r="J26" s="24" t="n">
        <x:v>111</x:v>
      </x:c>
      <x:c r="K26" s="24" t="n">
        <x:v>16</x:v>
      </x:c>
      <x:c r="L26" s="32" t="n">
        <x:v>4550</x:v>
      </x:c>
      <x:c r="M26" s="30" t="str">
        <x:v>Oceanco current fleet page (published overall dimensions)</x:v>
      </x:c>
      <x:c r="N26" s="30" t="str">
        <x:v>Oceanco / Lateral publication — database states 4,525GT</x:v>
      </x:c>
      <x:c r="O26" s="4" t="str">
        <x:v>Published database identity; current registry/radio licence not inspected.</x:v>
      </x:c>
      <x:c r="P26" s="4" t="str">
        <x:v>Builder/Lateral 4550GT vs database 4525GT; builder LOA 111m vs database 110m. Not SHODAN/Y716.</x:v>
      </x:c>
      <x:c r="Q26" s="4" t="str">
        <x:v>https://www.oceancoyacht.com/fleet/dreamboat/</x:v>
      </x:c>
      <x:c r="R26" s="4" t="str">
        <x:v>https://www.vesselfinder.com/vessels/details/9967093</x:v>
      </x:c>
      <x:c r="S26" s="4" t="str"/>
      <x:c r="T26" s="28" t="n">
        <x:v>46290</x:v>
      </x:c>
    </x:row>
  </x:sheetData>
  <x:mergeCells>
    <x:mergeCell ref="A1:T1"/>
    <x:mergeCell ref="A2:T2"/>
  </x:mergeCells>
  <x:pageMargins left="0.7" right="0.7" top="0.75" bottom="0.75" header="0.3" footer="0.3"/>
  <x:tableParts count="1">
    <x:tablePart xmlns:r="http://schemas.openxmlformats.org/officeDocument/2006/relationships" r:id="R75ca4bb353574831"/>
  </x:tableParts>
</x:worksheet>
</file>

<file path=xl/worksheets/sheet3.xml><?xml version="1.0" encoding="utf-8"?>
<x:worksheet xmlns:x="http://schemas.openxmlformats.org/spreadsheetml/2006/main">
  <x:sheetFormatPr defaultRowHeight="15"/>
  <x:cols>
    <x:col min="1" max="1" width="10" hidden="0" customWidth="1"/>
    <x:col min="2" max="2" width="23" hidden="0" customWidth="1"/>
    <x:col min="3" max="3" width="16" hidden="0" customWidth="1"/>
    <x:col min="4" max="4" width="15" hidden="0" customWidth="1"/>
    <x:col min="5" max="5" width="18" hidden="0" customWidth="1"/>
    <x:col min="6" max="6" width="30" hidden="0" customWidth="1"/>
    <x:col min="7" max="7" width="28" hidden="0" customWidth="1"/>
    <x:col min="8" max="8" width="30" hidden="0" customWidth="1"/>
    <x:col min="9" max="9" width="33" hidden="0" customWidth="1"/>
    <x:col min="10" max="10" width="35" hidden="0" customWidth="1"/>
    <x:col min="11" max="11" width="12" hidden="0" customWidth="1"/>
    <x:col min="12" max="12" width="14" hidden="0" customWidth="1"/>
    <x:col min="13" max="13" width="14" hidden="0" customWidth="1"/>
    <x:col min="14" max="14" width="14" hidden="0" customWidth="1"/>
    <x:col min="15" max="15" width="15" hidden="0" customWidth="1"/>
    <x:col min="16" max="16" width="14" hidden="0" customWidth="1"/>
    <x:col min="17" max="17" width="15" hidden="0" customWidth="1"/>
    <x:col min="18" max="18" width="24" hidden="0" customWidth="1"/>
    <x:col min="19" max="19" width="17" hidden="0" customWidth="1"/>
    <x:col min="20" max="20" width="39" hidden="0" customWidth="1"/>
    <x:col min="21" max="21" width="24" hidden="0" customWidth="1"/>
    <x:col min="22" max="22" width="40" hidden="0" customWidth="1"/>
    <x:col min="23" max="23" width="40" hidden="0" customWidth="1"/>
  </x:cols>
  <x:sheetData>
    <x:row r="1" ht="38" customHeight="1">
      <x:c r="A1" s="9" t="str">
        <x:v>TECHNICAL PARTICULARS  |  PUBLICLY SUPPORTED FIELDS</x:v>
      </x:c>
      <x:c r="B1" s="9"/>
      <x:c r="C1" s="9"/>
      <x:c r="D1" s="9"/>
      <x:c r="E1" s="9"/>
      <x:c r="F1" s="9"/>
      <x:c r="G1" s="9"/>
      <x:c r="H1" s="9"/>
      <x:c r="I1" s="9"/>
      <x:c r="J1" s="9"/>
      <x:c r="K1" s="9"/>
      <x:c r="L1" s="9"/>
      <x:c r="M1" s="9"/>
      <x:c r="N1" s="9"/>
      <x:c r="O1" s="9"/>
      <x:c r="P1" s="9"/>
      <x:c r="Q1" s="9"/>
      <x:c r="R1" s="9"/>
      <x:c r="S1" s="9"/>
      <x:c r="T1" s="9"/>
      <x:c r="U1" s="9"/>
      <x:c r="V1" s="9"/>
      <x:c r="W1" s="9"/>
    </x:row>
    <x:row r="2" ht="36" customHeight="1">
      <x:c r="A2" s="12" t="str">
        <x:v>Blank numeric cells / 'Not verified' mean no sufficiently supported value was captured • field-level sources and historical/current basis are in Field Evidence</x:v>
      </x:c>
      <x:c r="B2" s="12"/>
      <x:c r="C2" s="12"/>
      <x:c r="D2" s="12"/>
      <x:c r="E2" s="12"/>
      <x:c r="F2" s="12"/>
      <x:c r="G2" s="12"/>
      <x:c r="H2" s="12"/>
      <x:c r="I2" s="12"/>
      <x:c r="J2" s="12"/>
      <x:c r="K2" s="12"/>
      <x:c r="L2" s="12"/>
      <x:c r="M2" s="12"/>
      <x:c r="N2" s="12"/>
      <x:c r="O2" s="12"/>
      <x:c r="P2" s="12"/>
      <x:c r="Q2" s="12"/>
      <x:c r="R2" s="12"/>
      <x:c r="S2" s="12"/>
      <x:c r="T2" s="12"/>
      <x:c r="U2" s="12"/>
      <x:c r="V2" s="12"/>
      <x:c r="W2" s="12"/>
    </x:row>
    <x:row r="3" ht="9" customHeight="1">
      <x:c r="A3" s="4"/>
      <x:c r="B3" s="4"/>
      <x:c r="C3" s="4"/>
      <x:c r="D3" s="4"/>
      <x:c r="E3" s="4"/>
      <x:c r="F3" s="4"/>
      <x:c r="G3" s="4"/>
      <x:c r="H3" s="4"/>
      <x:c r="I3" s="4"/>
      <x:c r="J3" s="4"/>
      <x:c r="K3" s="4"/>
      <x:c r="L3" s="4"/>
      <x:c r="M3" s="4"/>
      <x:c r="N3" s="4"/>
      <x:c r="O3" s="4"/>
      <x:c r="P3" s="4"/>
      <x:c r="Q3" s="4"/>
      <x:c r="R3" s="4"/>
      <x:c r="S3" s="4"/>
      <x:c r="T3" s="4"/>
      <x:c r="U3" s="4"/>
      <x:c r="V3" s="4"/>
      <x:c r="W3" s="4"/>
    </x:row>
    <x:row r="4" ht="36" customHeight="1">
      <x:c r="A4" s="16" t="str">
        <x:v>Yard ID</x:v>
      </x:c>
      <x:c r="B4" s="16" t="str">
        <x:v>Vessel</x:v>
      </x:c>
      <x:c r="C4" s="16" t="str">
        <x:v>Draft (m)
[published]</x:v>
      </x:c>
      <x:c r="D4" s="16" t="str">
        <x:v>Hull</x:v>
      </x:c>
      <x:c r="E4" s="16" t="str">
        <x:v>Superstructure</x:v>
      </x:c>
      <x:c r="F4" s="16" t="str">
        <x:v>Naval architecture / engineering</x:v>
      </x:c>
      <x:c r="G4" s="16" t="str">
        <x:v>Exterior design</x:v>
      </x:c>
      <x:c r="H4" s="16" t="str">
        <x:v>Interior design</x:v>
      </x:c>
      <x:c r="I4" s="16" t="str">
        <x:v>Main machinery</x:v>
      </x:c>
      <x:c r="J4" s="16" t="str">
        <x:v>Propulsion / energy</x:v>
      </x:c>
      <x:c r="K4" s="16" t="str">
        <x:v>Cruise (kn)</x:v>
      </x:c>
      <x:c r="L4" s="16" t="str">
        <x:v>Max motor (kn)</x:v>
      </x:c>
      <x:c r="M4" s="16" t="str">
        <x:v>Max sail (kn)</x:v>
      </x:c>
      <x:c r="N4" s="16" t="str">
        <x:v>Range (nm)</x:v>
      </x:c>
      <x:c r="O4" s="16" t="str">
        <x:v>Guests [published]</x:v>
      </x:c>
      <x:c r="P4" s="16" t="str">
        <x:v>Guest cabins</x:v>
      </x:c>
      <x:c r="Q4" s="16" t="str">
        <x:v>Crew [published]</x:v>
      </x:c>
      <x:c r="R4" s="16" t="str">
        <x:v>Class society [published]</x:v>
      </x:c>
      <x:c r="S4" s="16" t="str">
        <x:v>Refit/rebuild identified</x:v>
      </x:c>
      <x:c r="T4" s="16" t="str">
        <x:v>Selected features</x:v>
      </x:c>
      <x:c r="U4" s="16" t="str">
        <x:v>Source IDs</x:v>
      </x:c>
      <x:c r="V4" s="16" t="str">
        <x:v>Source URLs</x:v>
      </x:c>
      <x:c r="W4" s="16" t="str">
        <x:v>Qualification</x:v>
      </x:c>
    </x:row>
    <x:row r="5" ht="100" customHeight="1">
      <x:c r="A5" s="20" t="str">
        <x:v>Y701</x:v>
      </x:c>
      <x:c r="B5" s="20" t="str">
        <x:v>Batello</x:v>
      </x:c>
      <x:c r="C5" s="24"/>
      <x:c r="D5" s="4" t="str">
        <x:v>Steel</x:v>
      </x:c>
      <x:c r="E5" s="4" t="str">
        <x:v>Not verified</x:v>
      </x:c>
      <x:c r="F5" s="4" t="str">
        <x:v>Not verified</x:v>
      </x:c>
      <x:c r="G5" s="4" t="str">
        <x:v>Nuvolari Lenard</x:v>
      </x:c>
      <x:c r="H5" s="4" t="str">
        <x:v>Alberto Pinto (original)</x:v>
      </x:c>
      <x:c r="I5" s="4" t="str">
        <x:v>Not verified</x:v>
      </x:c>
      <x:c r="J5" s="4" t="str">
        <x:v>Not verified</x:v>
      </x:c>
      <x:c r="K5" s="34" t="n">
        <x:v>14</x:v>
      </x:c>
      <x:c r="L5" s="34" t="n">
        <x:v>20</x:v>
      </x:c>
      <x:c r="M5" s="34"/>
      <x:c r="N5" s="34"/>
      <x:c r="O5" s="36" t="n">
        <x:v>12</x:v>
      </x:c>
      <x:c r="P5" s="36" t="n">
        <x:v>9</x:v>
      </x:c>
      <x:c r="Q5" s="36" t="n">
        <x:v>26</x:v>
      </x:c>
      <x:c r="R5" s="4" t="str">
        <x:v>Not verified</x:v>
      </x:c>
      <x:c r="S5" s="4" t="n">
        <x:v>2025</x:v>
      </x:c>
      <x:c r="T5" s="4" t="str">
        <x:v>Retractable zero-speed stabilisers; interior refit by FM Architettura</x:v>
      </x:c>
      <x:c r="U5" s="4" t="str">
        <x:v>B701; Y701</x:v>
      </x:c>
      <x:c r="V5" s="4" t="str">
        <x:v>https://www.oceancoyacht.com/fleet/batello/
https://iyc.com/charter/batello/</x:v>
      </x:c>
      <x:c r="W5" s="4" t="str">
        <x:v>Published accommodation is not a certified persons-on-board limit. Draft is not assumed to be maximum/design draft. Range speed/load condition is unverified. Broker maximum speed conflict: 19/20kn.</x:v>
      </x:c>
    </x:row>
    <x:row r="6" ht="100" customHeight="1">
      <x:c r="A6" s="20" t="str">
        <x:v>Y702</x:v>
      </x:c>
      <x:c r="B6" s="20" t="str">
        <x:v>Alfa Nero</x:v>
      </x:c>
      <x:c r="C6" s="24" t="n">
        <x:v>3.9</x:v>
      </x:c>
      <x:c r="D6" s="4" t="str">
        <x:v>Steel</x:v>
      </x:c>
      <x:c r="E6" s="4" t="str">
        <x:v>Not verified</x:v>
      </x:c>
      <x:c r="F6" s="4" t="str">
        <x:v>Not verified</x:v>
      </x:c>
      <x:c r="G6" s="4" t="str">
        <x:v>Nuvolari Lenard</x:v>
      </x:c>
      <x:c r="H6" s="4" t="str">
        <x:v>Alberto Pinto</x:v>
      </x:c>
      <x:c r="I6" s="4" t="str">
        <x:v>2 x MTU 4,680 hp (broker notation)</x:v>
      </x:c>
      <x:c r="J6" s="4" t="str">
        <x:v>Not verified</x:v>
      </x:c>
      <x:c r="K6" s="34" t="n">
        <x:v>15</x:v>
      </x:c>
      <x:c r="L6" s="34" t="n">
        <x:v>20</x:v>
      </x:c>
      <x:c r="M6" s="34"/>
      <x:c r="N6" s="34" t="n">
        <x:v>5500</x:v>
      </x:c>
      <x:c r="O6" s="36" t="n">
        <x:v>12</x:v>
      </x:c>
      <x:c r="P6" s="36" t="n">
        <x:v>6</x:v>
      </x:c>
      <x:c r="Q6" s="36" t="n">
        <x:v>28</x:v>
      </x:c>
      <x:c r="R6" s="4" t="str">
        <x:v>Lloyd's Register</x:v>
      </x:c>
      <x:c r="S6" s="4" t="n">
        <x:v>2024</x:v>
      </x:c>
      <x:c r="T6" s="4" t="str">
        <x:v>6 guest staterooms plus 1 staff suite; stabilisation at anchor and underway</x:v>
      </x:c>
      <x:c r="U6" s="4" t="str">
        <x:v>B702; FR702</x:v>
      </x:c>
      <x:c r="V6" s="4" t="str">
        <x:v>https://www.oceancoyacht.com/fleet/alfa-nero/
https://www.fraseryachts.com/en/yacht-for-sale/alfa-nero/</x:v>
      </x:c>
      <x:c r="W6" s="4" t="str">
        <x:v>Published accommodation is not a certified persons-on-board limit. Draft is not assumed to be maximum/design draft. Range speed/load condition is unverified.</x:v>
      </x:c>
    </x:row>
    <x:row r="7" ht="100" customHeight="1">
      <x:c r="A7" s="20" t="str">
        <x:v>Y703</x:v>
      </x:c>
      <x:c r="B7" s="20" t="str">
        <x:v>Wheels</x:v>
      </x:c>
      <x:c r="C7" s="24" t="n">
        <x:v>3.86</x:v>
      </x:c>
      <x:c r="D7" s="4" t="str">
        <x:v>Steel</x:v>
      </x:c>
      <x:c r="E7" s="4" t="str">
        <x:v>Not verified</x:v>
      </x:c>
      <x:c r="F7" s="4" t="str">
        <x:v>Not verified</x:v>
      </x:c>
      <x:c r="G7" s="4" t="str">
        <x:v>Sam Sorgiovanni</x:v>
      </x:c>
      <x:c r="H7" s="4" t="str">
        <x:v>Sam Sorgiovanni</x:v>
      </x:c>
      <x:c r="I7" s="4" t="str">
        <x:v>2 x MTU 3,655 hp (broker notation)</x:v>
      </x:c>
      <x:c r="J7" s="4" t="str">
        <x:v>Not verified</x:v>
      </x:c>
      <x:c r="K7" s="34" t="n">
        <x:v>15</x:v>
      </x:c>
      <x:c r="L7" s="34" t="n">
        <x:v>18</x:v>
      </x:c>
      <x:c r="M7" s="34"/>
      <x:c r="N7" s="34" t="n">
        <x:v>4500</x:v>
      </x:c>
      <x:c r="O7" s="36" t="n">
        <x:v>12</x:v>
      </x:c>
      <x:c r="P7" s="36" t="n">
        <x:v>6</x:v>
      </x:c>
      <x:c r="Q7" s="36" t="n">
        <x:v>21</x:v>
      </x:c>
      <x:c r="R7" s="4" t="str">
        <x:v>Lloyd's Register</x:v>
      </x:c>
      <x:c r="S7" s="4" t="n">
        <x:v>2024</x:v>
      </x:c>
      <x:c r="T7" s="4" t="str">
        <x:v>Stabilisation at anchor and underway</x:v>
      </x:c>
      <x:c r="U7" s="4" t="str">
        <x:v>B703; FR703</x:v>
      </x:c>
      <x:c r="V7" s="4" t="str">
        <x:v>https://www.oceancoyacht.com/fleet/wheels/
https://www.fraseryachts.com/en/yacht-for-charter/wheels/</x:v>
      </x:c>
      <x:c r="W7" s="4" t="str">
        <x:v>Published accommodation is not a certified persons-on-board limit. Draft is not assumed to be maximum/design draft. Range speed/load condition is unverified.</x:v>
      </x:c>
    </x:row>
    <x:row r="8" ht="100" customHeight="1">
      <x:c r="A8" s="20" t="str">
        <x:v>Y704</x:v>
      </x:c>
      <x:c r="B8" s="20" t="str">
        <x:v>Vibrant Curiosity</x:v>
      </x:c>
      <x:c r="C8" s="24"/>
      <x:c r="D8" s="4" t="str">
        <x:v>Not verified</x:v>
      </x:c>
      <x:c r="E8" s="4" t="str">
        <x:v>Not verified</x:v>
      </x:c>
      <x:c r="F8" s="4" t="str">
        <x:v>Not verified</x:v>
      </x:c>
      <x:c r="G8" s="4" t="str">
        <x:v>Nuvolari Lenard</x:v>
      </x:c>
      <x:c r="H8" s="4" t="str">
        <x:v>Nuvolari Lenard</x:v>
      </x:c>
      <x:c r="I8" s="4" t="str">
        <x:v>Not verified</x:v>
      </x:c>
      <x:c r="J8" s="4" t="str">
        <x:v>Not verified</x:v>
      </x:c>
      <x:c r="K8" s="34"/>
      <x:c r="L8" s="34"/>
      <x:c r="M8" s="34"/>
      <x:c r="N8" s="34" t="n">
        <x:v>5500</x:v>
      </x:c>
      <x:c r="O8" s="36"/>
      <x:c r="P8" s="36"/>
      <x:c r="Q8" s="36"/>
      <x:c r="R8" s="4" t="str">
        <x:v>Not verified</x:v>
      </x:c>
      <x:c r="S8" s="4"/>
      <x:c r="T8" s="4" t="str">
        <x:v>Not verified</x:v>
      </x:c>
      <x:c r="U8" s="4" t="str">
        <x:v>B704</x:v>
      </x:c>
      <x:c r="V8" s="4" t="str">
        <x:v>https://www.oceancoyacht.com/fleet/vibrant-curiosity/</x:v>
      </x:c>
      <x:c r="W8" s="4" t="str">
        <x:v>Published accommodation is not a certified persons-on-board limit. Draft is not assumed to be maximum/design draft. Range speed/load condition is unverified.</x:v>
      </x:c>
    </x:row>
    <x:row r="9" ht="100" customHeight="1">
      <x:c r="A9" s="20" t="str">
        <x:v>Y705</x:v>
      </x:c>
      <x:c r="B9" s="20" t="str">
        <x:v>Sunrays</x:v>
      </x:c>
      <x:c r="C9" s="24" t="n">
        <x:v>3.95</x:v>
      </x:c>
      <x:c r="D9" s="4" t="str">
        <x:v>Steel</x:v>
      </x:c>
      <x:c r="E9" s="4" t="str">
        <x:v>Aluminium</x:v>
      </x:c>
      <x:c r="F9" s="4" t="str">
        <x:v>Azure</x:v>
      </x:c>
      <x:c r="G9" s="4" t="str">
        <x:v>Björn Johansson</x:v>
      </x:c>
      <x:c r="H9" s="4" t="str">
        <x:v>Terence Disdale</x:v>
      </x:c>
      <x:c r="I9" s="4" t="str">
        <x:v>Not verified</x:v>
      </x:c>
      <x:c r="J9" s="4" t="str">
        <x:v>Not verified</x:v>
      </x:c>
      <x:c r="K9" s="34" t="n">
        <x:v>14</x:v>
      </x:c>
      <x:c r="L9" s="34"/>
      <x:c r="M9" s="34"/>
      <x:c r="N9" s="34"/>
      <x:c r="O9" s="36" t="n">
        <x:v>12</x:v>
      </x:c>
      <x:c r="P9" s="36" t="n">
        <x:v>8</x:v>
      </x:c>
      <x:c r="Q9" s="36" t="n">
        <x:v>29</x:v>
      </x:c>
      <x:c r="R9" s="4" t="str">
        <x:v>Not verified</x:v>
      </x:c>
      <x:c r="S9" s="4" t="n">
        <x:v>2025</x:v>
      </x:c>
      <x:c r="T9" s="4" t="str">
        <x:v>Not verified</x:v>
      </x:c>
      <x:c r="U9" s="4" t="str">
        <x:v>B705; ED705</x:v>
      </x:c>
      <x:c r="V9" s="4" t="str">
        <x:v>https://www.oceancoyacht.com/fleet/sunrays/
https://www.edmiston.com/50/sunrays-yacht-charter/</x:v>
      </x:c>
      <x:c r="W9" s="4" t="str">
        <x:v>Published accommodation is not a certified persons-on-board limit. Draft is not assumed to be maximum/design draft. Range speed/load condition is unverified.</x:v>
      </x:c>
    </x:row>
    <x:row r="10" ht="100" customHeight="1">
      <x:c r="A10" s="20" t="str">
        <x:v>Y706</x:v>
      </x:c>
      <x:c r="B10" s="20" t="str">
        <x:v>Man of Steel</x:v>
      </x:c>
      <x:c r="C10" s="24"/>
      <x:c r="D10" s="4" t="str">
        <x:v>Steel</x:v>
      </x:c>
      <x:c r="E10" s="4" t="str">
        <x:v>Not verified</x:v>
      </x:c>
      <x:c r="F10" s="4" t="str">
        <x:v>Azure</x:v>
      </x:c>
      <x:c r="G10" s="4" t="str">
        <x:v>Nuvolari Lenard</x:v>
      </x:c>
      <x:c r="H10" s="4" t="str">
        <x:v>Not verified</x:v>
      </x:c>
      <x:c r="I10" s="4" t="str">
        <x:v>Not verified</x:v>
      </x:c>
      <x:c r="J10" s="4" t="str">
        <x:v>Not verified</x:v>
      </x:c>
      <x:c r="K10" s="34"/>
      <x:c r="L10" s="34"/>
      <x:c r="M10" s="34"/>
      <x:c r="N10" s="34"/>
      <x:c r="O10" s="36"/>
      <x:c r="P10" s="36"/>
      <x:c r="Q10" s="36"/>
      <x:c r="R10" s="4" t="str">
        <x:v>Not verified</x:v>
      </x:c>
      <x:c r="S10" s="4"/>
      <x:c r="T10" s="4" t="str">
        <x:v>Not verified</x:v>
      </x:c>
      <x:c r="U10" s="4" t="str">
        <x:v>CW706</x:v>
      </x:c>
      <x:c r="V10" s="4" t="str">
        <x:v>https://www.charterworld.com/index.html?charter=motor-yacht-y-5937&amp;sub=yacht-charter</x:v>
      </x:c>
      <x:c r="W10" s="4" t="str">
        <x:v>Published accommodation is not a certified persons-on-board limit. Draft is not assumed to be maximum/design draft. Range speed/load condition is unverified.</x:v>
      </x:c>
    </x:row>
    <x:row r="11" ht="100" customHeight="1">
      <x:c r="A11" s="20" t="str">
        <x:v>Y707</x:v>
      </x:c>
      <x:c r="B11" s="20" t="str">
        <x:v>Nirvana</x:v>
      </x:c>
      <x:c r="C11" s="24"/>
      <x:c r="D11" s="4" t="str">
        <x:v>Not verified</x:v>
      </x:c>
      <x:c r="E11" s="4" t="str">
        <x:v>Not verified</x:v>
      </x:c>
      <x:c r="F11" s="4" t="str">
        <x:v>Not verified</x:v>
      </x:c>
      <x:c r="G11" s="4" t="str">
        <x:v>Sam Sorgiovanni</x:v>
      </x:c>
      <x:c r="H11" s="4" t="str">
        <x:v>Sam Sorgiovanni</x:v>
      </x:c>
      <x:c r="I11" s="4" t="str">
        <x:v>Not verified</x:v>
      </x:c>
      <x:c r="J11" s="4" t="str">
        <x:v>Not verified</x:v>
      </x:c>
      <x:c r="K11" s="34"/>
      <x:c r="L11" s="34"/>
      <x:c r="M11" s="34"/>
      <x:c r="N11" s="34"/>
      <x:c r="O11" s="36"/>
      <x:c r="P11" s="36"/>
      <x:c r="Q11" s="36"/>
      <x:c r="R11" s="4" t="str">
        <x:v>Not verified</x:v>
      </x:c>
      <x:c r="S11" s="4"/>
      <x:c r="T11" s="4" t="str">
        <x:v>Not verified</x:v>
      </x:c>
      <x:c r="U11" s="4" t="str">
        <x:v>B707</x:v>
      </x:c>
      <x:c r="V11" s="4" t="str">
        <x:v>https://www.oceancoyacht.com/fleet/nirvana/</x:v>
      </x:c>
      <x:c r="W11" s="4" t="str">
        <x:v>Published accommodation is not a certified persons-on-board limit. Draft is not assumed to be maximum/design draft. Range speed/load condition is unverified.</x:v>
      </x:c>
    </x:row>
    <x:row r="12" ht="100" customHeight="1">
      <x:c r="A12" s="20" t="str">
        <x:v>Y708</x:v>
      </x:c>
      <x:c r="B12" s="20" t="str">
        <x:v>Amore Vero</x:v>
      </x:c>
      <x:c r="C12" s="24"/>
      <x:c r="D12" s="4" t="str">
        <x:v>Not verified</x:v>
      </x:c>
      <x:c r="E12" s="4" t="str">
        <x:v>Not verified</x:v>
      </x:c>
      <x:c r="F12" s="4" t="str">
        <x:v>Not verified</x:v>
      </x:c>
      <x:c r="G12" s="4" t="str">
        <x:v>Lobanov Design</x:v>
      </x:c>
      <x:c r="H12" s="4" t="str">
        <x:v>Alberto Pinto</x:v>
      </x:c>
      <x:c r="I12" s="4" t="str">
        <x:v>Not verified</x:v>
      </x:c>
      <x:c r="J12" s="4" t="str">
        <x:v>Not verified</x:v>
      </x:c>
      <x:c r="K12" s="34"/>
      <x:c r="L12" s="34"/>
      <x:c r="M12" s="34"/>
      <x:c r="N12" s="34"/>
      <x:c r="O12" s="36"/>
      <x:c r="P12" s="36"/>
      <x:c r="Q12" s="36"/>
      <x:c r="R12" s="4" t="str">
        <x:v>Not verified</x:v>
      </x:c>
      <x:c r="S12" s="4"/>
      <x:c r="T12" s="4" t="str">
        <x:v>Not verified</x:v>
      </x:c>
      <x:c r="U12" s="4" t="str">
        <x:v>B708</x:v>
      </x:c>
      <x:c r="V12" s="4" t="str">
        <x:v>https://www.oceancoyacht.com/fleet/amore-vero/</x:v>
      </x:c>
      <x:c r="W12" s="4" t="str">
        <x:v>Published accommodation is not a certified persons-on-board limit. Draft is not assumed to be maximum/design draft. Range speed/load condition is unverified.</x:v>
      </x:c>
    </x:row>
    <x:row r="13" ht="100" customHeight="1">
      <x:c r="A13" s="20" t="str">
        <x:v>Y709</x:v>
      </x:c>
      <x:c r="B13" s="20" t="str">
        <x:v>Draak</x:v>
      </x:c>
      <x:c r="C13" s="24"/>
      <x:c r="D13" s="4" t="str">
        <x:v>Not verified</x:v>
      </x:c>
      <x:c r="E13" s="4" t="str">
        <x:v>Not verified</x:v>
      </x:c>
      <x:c r="F13" s="4" t="str">
        <x:v>Not verified</x:v>
      </x:c>
      <x:c r="G13" s="4" t="str">
        <x:v>Not verified</x:v>
      </x:c>
      <x:c r="H13" s="4" t="str">
        <x:v>Not verified</x:v>
      </x:c>
      <x:c r="I13" s="4" t="str">
        <x:v>Not verified</x:v>
      </x:c>
      <x:c r="J13" s="4" t="str">
        <x:v>Not verified</x:v>
      </x:c>
      <x:c r="K13" s="34"/>
      <x:c r="L13" s="34"/>
      <x:c r="M13" s="34"/>
      <x:c r="N13" s="34"/>
      <x:c r="O13" s="36"/>
      <x:c r="P13" s="36"/>
      <x:c r="Q13" s="36"/>
      <x:c r="R13" s="4" t="str">
        <x:v>Not verified</x:v>
      </x:c>
      <x:c r="S13" s="4" t="n">
        <x:v>2026</x:v>
      </x:c>
      <x:c r="T13" s="4" t="str">
        <x:v>Dive centre; medical room; hyperbaric chamber; scientific work facilities</x:v>
      </x:c>
      <x:c r="U13" s="4" t="str">
        <x:v>DRAAK26</x:v>
      </x:c>
      <x:c r="V13" s="4" t="str">
        <x:v>https://www.oceancoyacht.com/leviathan-and-draak-at-the-2026-monaco-yacht-show/</x:v>
      </x:c>
      <x:c r="W13" s="4" t="str">
        <x:v>Published accommodation is not a certified persons-on-board limit. Draft is not assumed to be maximum/design draft. Range speed/load condition is unverified. Original machinery/accommodation intentionally not carried forward across 2026 rebuild.</x:v>
      </x:c>
    </x:row>
    <x:row r="14" ht="100" customHeight="1">
      <x:c r="A14" s="20" t="str">
        <x:v>Y710</x:v>
      </x:c>
      <x:c r="B14" s="20" t="str">
        <x:v>Samsara</x:v>
      </x:c>
      <x:c r="C14" s="24"/>
      <x:c r="D14" s="4" t="str">
        <x:v>Not verified</x:v>
      </x:c>
      <x:c r="E14" s="4" t="str">
        <x:v>Not verified</x:v>
      </x:c>
      <x:c r="F14" s="4" t="str">
        <x:v>Not verified</x:v>
      </x:c>
      <x:c r="G14" s="4" t="str">
        <x:v>Espen Øino</x:v>
      </x:c>
      <x:c r="H14" s="4" t="str">
        <x:v>Sinot; David Kleinberg</x:v>
      </x:c>
      <x:c r="I14" s="4" t="str">
        <x:v>Not verified</x:v>
      </x:c>
      <x:c r="J14" s="4" t="str">
        <x:v>Not verified</x:v>
      </x:c>
      <x:c r="K14" s="34"/>
      <x:c r="L14" s="34"/>
      <x:c r="M14" s="34"/>
      <x:c r="N14" s="34"/>
      <x:c r="O14" s="36"/>
      <x:c r="P14" s="36"/>
      <x:c r="Q14" s="36"/>
      <x:c r="R14" s="4" t="str">
        <x:v>Not verified</x:v>
      </x:c>
      <x:c r="S14" s="4"/>
      <x:c r="T14" s="4" t="str">
        <x:v>Not verified</x:v>
      </x:c>
      <x:c r="U14" s="4" t="str">
        <x:v>B710</x:v>
      </x:c>
      <x:c r="V14" s="4" t="str">
        <x:v>https://www.oceancoyacht.com/fleet/samsara/</x:v>
      </x:c>
      <x:c r="W14" s="4" t="str">
        <x:v>Published accommodation is not a certified persons-on-board limit. Draft is not assumed to be maximum/design draft. Range speed/load condition is unverified.</x:v>
      </x:c>
    </x:row>
    <x:row r="15" ht="100" customHeight="1">
      <x:c r="A15" s="20" t="str">
        <x:v>Y711</x:v>
      </x:c>
      <x:c r="B15" s="20" t="str">
        <x:v>AQuiJo</x:v>
      </x:c>
      <x:c r="C15" s="24" t="n">
        <x:v>5.3</x:v>
      </x:c>
      <x:c r="D15" s="4" t="str">
        <x:v>Not verified</x:v>
      </x:c>
      <x:c r="E15" s="4" t="str">
        <x:v>Not verified</x:v>
      </x:c>
      <x:c r="F15" s="4" t="str">
        <x:v>Not verified</x:v>
      </x:c>
      <x:c r="G15" s="4" t="str">
        <x:v>Tripp Design</x:v>
      </x:c>
      <x:c r="H15" s="4" t="str">
        <x:v>Dölker + Voges</x:v>
      </x:c>
      <x:c r="I15" s="4" t="str">
        <x:v>Not verified</x:v>
      </x:c>
      <x:c r="J15" s="4" t="str">
        <x:v>Not verified</x:v>
      </x:c>
      <x:c r="K15" s="34"/>
      <x:c r="L15" s="34"/>
      <x:c r="M15" s="34"/>
      <x:c r="N15" s="34"/>
      <x:c r="O15" s="36" t="n">
        <x:v>12</x:v>
      </x:c>
      <x:c r="P15" s="36" t="n">
        <x:v>7</x:v>
      </x:c>
      <x:c r="Q15" s="36" t="n">
        <x:v>17</x:v>
      </x:c>
      <x:c r="R15" s="4" t="str">
        <x:v>Not verified</x:v>
      </x:c>
      <x:c r="S15" s="4"/>
      <x:c r="T15" s="4" t="str">
        <x:v>Not verified</x:v>
      </x:c>
      <x:c r="U15" s="4" t="str">
        <x:v>B711; YC711</x:v>
      </x:c>
      <x:c r="V15" s="4" t="str">
        <x:v>https://www.oceancoyacht.com/fleet/aquijo/
https://y.co/yacht/aquijo</x:v>
      </x:c>
      <x:c r="W15" s="4" t="str">
        <x:v>Published accommodation is not a certified persons-on-board limit. Draft is not assumed to be maximum/design draft. Range speed/load condition is unverified. Broker also publishes 17kn maximum without identifying propulsion mode; see Field Evidence.</x:v>
      </x:c>
    </x:row>
    <x:row r="16" ht="100" customHeight="1">
      <x:c r="A16" s="20" t="str">
        <x:v>Y712</x:v>
      </x:c>
      <x:c r="B16" s="20" t="str">
        <x:v>Black Pearl</x:v>
      </x:c>
      <x:c r="C16" s="24"/>
      <x:c r="D16" s="4" t="str">
        <x:v>Not verified</x:v>
      </x:c>
      <x:c r="E16" s="4" t="str">
        <x:v>Not verified</x:v>
      </x:c>
      <x:c r="F16" s="4" t="str">
        <x:v>Lateral / BMT; Oceanco</x:v>
      </x:c>
      <x:c r="G16" s="4" t="str">
        <x:v>Ken Freivokh; Nuvolari Lenard</x:v>
      </x:c>
      <x:c r="H16" s="4" t="str">
        <x:v>Nuvolari Lenard; Villate</x:v>
      </x:c>
      <x:c r="I16" s="4" t="str">
        <x:v>Not verified</x:v>
      </x:c>
      <x:c r="J16" s="4" t="str">
        <x:v>Hybrid propulsion with sailing-energy integration</x:v>
      </x:c>
      <x:c r="K16" s="34"/>
      <x:c r="L16" s="34"/>
      <x:c r="M16" s="34" t="n">
        <x:v>30</x:v>
      </x:c>
      <x:c r="N16" s="34"/>
      <x:c r="O16" s="36"/>
      <x:c r="P16" s="36"/>
      <x:c r="Q16" s="36"/>
      <x:c r="R16" s="4" t="str">
        <x:v>Not verified</x:v>
      </x:c>
      <x:c r="S16" s="4"/>
      <x:c r="T16" s="4" t="str">
        <x:v>Not verified</x:v>
      </x:c>
      <x:c r="U16" s="4" t="str">
        <x:v>B712; LAT712</x:v>
      </x:c>
      <x:c r="V16" s="4" t="str">
        <x:v>https://www.oceancoyacht.com/fleet/black-pearl/
https://www.lateral.engineering/projects/black-pearl/</x:v>
      </x:c>
      <x:c r="W16" s="4" t="str">
        <x:v>Published accommodation is not a certified persons-on-board limit. Draft is not assumed to be maximum/design draft. Range speed/load condition is unverified.</x:v>
      </x:c>
    </x:row>
    <x:row r="17" ht="100" customHeight="1">
      <x:c r="A17" s="20" t="str">
        <x:v>Y714</x:v>
      </x:c>
      <x:c r="B17" s="20" t="str">
        <x:v>KAOS</x:v>
      </x:c>
      <x:c r="C17" s="24"/>
      <x:c r="D17" s="4" t="str">
        <x:v>Not verified</x:v>
      </x:c>
      <x:c r="E17" s="4" t="str">
        <x:v>Not verified</x:v>
      </x:c>
      <x:c r="F17" s="4" t="str">
        <x:v>Azure (hull); Lateral / Oceanco (engineering)</x:v>
      </x:c>
      <x:c r="G17" s="4" t="str">
        <x:v>Lobanov Design</x:v>
      </x:c>
      <x:c r="H17" s="4" t="str">
        <x:v>Sam Sorgiovanni (original)</x:v>
      </x:c>
      <x:c r="I17" s="4" t="str">
        <x:v>Not verified</x:v>
      </x:c>
      <x:c r="J17" s="4" t="str">
        <x:v>Not verified</x:v>
      </x:c>
      <x:c r="K17" s="34"/>
      <x:c r="L17" s="34"/>
      <x:c r="M17" s="34"/>
      <x:c r="N17" s="34"/>
      <x:c r="O17" s="36" t="n">
        <x:v>30</x:v>
      </x:c>
      <x:c r="P17" s="36"/>
      <x:c r="Q17" s="36"/>
      <x:c r="R17" s="4" t="str">
        <x:v>Not verified</x:v>
      </x:c>
      <x:c r="S17" s="4"/>
      <x:c r="T17" s="4" t="str">
        <x:v>Not verified</x:v>
      </x:c>
      <x:c r="U17" s="4" t="str">
        <x:v>B714; LAT714</x:v>
      </x:c>
      <x:c r="V17" s="4" t="str">
        <x:v>https://www.oceancoyacht.com/fleet/kaos/
https://www.lateral.engineering/projects/kaos/</x:v>
      </x:c>
      <x:c r="W17" s="4" t="str">
        <x:v>Published accommodation is not a certified persons-on-board limit. Draft is not assumed to be maximum/design draft. Range speed/load condition is unverified.</x:v>
      </x:c>
    </x:row>
    <x:row r="18" ht="100" customHeight="1">
      <x:c r="A18" s="20" t="str">
        <x:v>Y715</x:v>
      </x:c>
      <x:c r="B18" s="20" t="str">
        <x:v>Barbara</x:v>
      </x:c>
      <x:c r="C18" s="24" t="n">
        <x:v>3.95</x:v>
      </x:c>
      <x:c r="D18" s="4" t="str">
        <x:v>Steel</x:v>
      </x:c>
      <x:c r="E18" s="4" t="str">
        <x:v>Aluminium</x:v>
      </x:c>
      <x:c r="F18" s="4" t="str">
        <x:v>Not verified</x:v>
      </x:c>
      <x:c r="G18" s="4" t="str">
        <x:v>Sam Sorgiovanni</x:v>
      </x:c>
      <x:c r="H18" s="4" t="str">
        <x:v>Sam Sorgiovanni</x:v>
      </x:c>
      <x:c r="I18" s="4" t="str">
        <x:v>Not verified</x:v>
      </x:c>
      <x:c r="J18" s="4" t="str">
        <x:v>Not verified</x:v>
      </x:c>
      <x:c r="K18" s="34" t="n">
        <x:v>16</x:v>
      </x:c>
      <x:c r="L18" s="34" t="n">
        <x:v>19</x:v>
      </x:c>
      <x:c r="M18" s="34"/>
      <x:c r="N18" s="34"/>
      <x:c r="O18" s="36" t="n">
        <x:v>12</x:v>
      </x:c>
      <x:c r="P18" s="36"/>
      <x:c r="Q18" s="36" t="n">
        <x:v>27</x:v>
      </x:c>
      <x:c r="R18" s="4" t="str">
        <x:v>Not verified</x:v>
      </x:c>
      <x:c r="S18" s="4"/>
      <x:c r="T18" s="4" t="str">
        <x:v>Not verified</x:v>
      </x:c>
      <x:c r="U18" s="4" t="str">
        <x:v>B715; Y715</x:v>
      </x:c>
      <x:c r="V18" s="4" t="str">
        <x:v>https://www.oceancoyacht.com/fleet/barbara/
https://www.sorgiovanniinteriors.com.au/barbara/</x:v>
      </x:c>
      <x:c r="W18" s="4" t="str">
        <x:v>Published accommodation is not a certified persons-on-board limit. Draft is not assumed to be maximum/design draft. Range speed/load condition is unverified. Designer data is as built in 2017.</x:v>
      </x:c>
    </x:row>
    <x:row r="19" ht="100" customHeight="1">
      <x:c r="A19" s="20" t="str">
        <x:v>Y716</x:v>
      </x:c>
      <x:c r="B19" s="20" t="str">
        <x:v>SHODAN</x:v>
      </x:c>
      <x:c r="C19" s="24"/>
      <x:c r="D19" s="4" t="str">
        <x:v>Not verified</x:v>
      </x:c>
      <x:c r="E19" s="4" t="str">
        <x:v>Not verified</x:v>
      </x:c>
      <x:c r="F19" s="4" t="str">
        <x:v>Not verified</x:v>
      </x:c>
      <x:c r="G19" s="4" t="str">
        <x:v>Espen Øino</x:v>
      </x:c>
      <x:c r="H19" s="4" t="str">
        <x:v>Terence Disdale</x:v>
      </x:c>
      <x:c r="I19" s="4" t="str">
        <x:v>Not verified</x:v>
      </x:c>
      <x:c r="J19" s="4" t="str">
        <x:v>Not verified</x:v>
      </x:c>
      <x:c r="K19" s="34"/>
      <x:c r="L19" s="34"/>
      <x:c r="M19" s="34"/>
      <x:c r="N19" s="34"/>
      <x:c r="O19" s="36" t="n">
        <x:v>23</x:v>
      </x:c>
      <x:c r="P19" s="36"/>
      <x:c r="Q19" s="36"/>
      <x:c r="R19" s="4" t="str">
        <x:v>Not verified</x:v>
      </x:c>
      <x:c r="S19" s="4"/>
      <x:c r="T19" s="4" t="str">
        <x:v>Not verified</x:v>
      </x:c>
      <x:c r="U19" s="4" t="str">
        <x:v>B716</x:v>
      </x:c>
      <x:c r="V19" s="4" t="str">
        <x:v>https://www.oceancoyacht.com/fleet/shodan/</x:v>
      </x:c>
      <x:c r="W19" s="4" t="str">
        <x:v>Published accommodation is not a certified persons-on-board limit. Draft is not assumed to be maximum/design draft. Range speed/load condition is unverified.</x:v>
      </x:c>
    </x:row>
    <x:row r="20" ht="100" customHeight="1">
      <x:c r="A20" s="20" t="str">
        <x:v>Y717</x:v>
      </x:c>
      <x:c r="B20" s="20" t="str">
        <x:v>LUNA</x:v>
      </x:c>
      <x:c r="C20" s="24" t="n">
        <x:v>3.95</x:v>
      </x:c>
      <x:c r="D20" s="4" t="str">
        <x:v>Not verified</x:v>
      </x:c>
      <x:c r="E20" s="4" t="str">
        <x:v>Not verified</x:v>
      </x:c>
      <x:c r="F20" s="4" t="str">
        <x:v>Not verified</x:v>
      </x:c>
      <x:c r="G20" s="4" t="str">
        <x:v>DeBasto Designs</x:v>
      </x:c>
      <x:c r="H20" s="4" t="str">
        <x:v>Nuvolari Lenard</x:v>
      </x:c>
      <x:c r="I20" s="4" t="str">
        <x:v>Not verified</x:v>
      </x:c>
      <x:c r="J20" s="4" t="str">
        <x:v>Not verified</x:v>
      </x:c>
      <x:c r="K20" s="34"/>
      <x:c r="L20" s="34" t="n">
        <x:v>20</x:v>
      </x:c>
      <x:c r="M20" s="34"/>
      <x:c r="N20" s="34"/>
      <x:c r="O20" s="36" t="n">
        <x:v>12</x:v>
      </x:c>
      <x:c r="P20" s="36" t="n">
        <x:v>7</x:v>
      </x:c>
      <x:c r="Q20" s="36" t="n">
        <x:v>30</x:v>
      </x:c>
      <x:c r="R20" s="4" t="str">
        <x:v>Not verified</x:v>
      </x:c>
      <x:c r="S20" s="4"/>
      <x:c r="T20" s="4" t="str">
        <x:v>Not verified</x:v>
      </x:c>
      <x:c r="U20" s="4" t="str">
        <x:v>B717; YC717</x:v>
      </x:c>
      <x:c r="V20" s="4" t="str">
        <x:v>https://www.oceancoyacht.com/fleet/luna/
https://y.co/yacht/luna</x:v>
      </x:c>
      <x:c r="W20" s="4" t="str">
        <x:v>Published accommodation is not a certified persons-on-board limit. Draft is not assumed to be maximum/design draft. Range speed/load condition is unverified.</x:v>
      </x:c>
    </x:row>
    <x:row r="21" ht="100" customHeight="1">
      <x:c r="A21" s="20" t="str">
        <x:v>Y718</x:v>
      </x:c>
      <x:c r="B21" s="20" t="str">
        <x:v>Bravo Eugenia</x:v>
      </x:c>
      <x:c r="C21" s="24"/>
      <x:c r="D21" s="4" t="str">
        <x:v>Not verified</x:v>
      </x:c>
      <x:c r="E21" s="4" t="str">
        <x:v>Not verified</x:v>
      </x:c>
      <x:c r="F21" s="4" t="str">
        <x:v>Lateral; Oceanco</x:v>
      </x:c>
      <x:c r="G21" s="4" t="str">
        <x:v>Nuvolari Lenard</x:v>
      </x:c>
      <x:c r="H21" s="4" t="str">
        <x:v>Reymond Langton</x:v>
      </x:c>
      <x:c r="I21" s="4" t="str">
        <x:v>2 x 1,440 kW MTU</x:v>
      </x:c>
      <x:c r="J21" s="4" t="str">
        <x:v>Hybrid LIFE platform; batteries and waste-heat recovery</x:v>
      </x:c>
      <x:c r="K21" s="34"/>
      <x:c r="L21" s="34"/>
      <x:c r="M21" s="34"/>
      <x:c r="N21" s="34"/>
      <x:c r="O21" s="36"/>
      <x:c r="P21" s="36"/>
      <x:c r="Q21" s="36"/>
      <x:c r="R21" s="4" t="str">
        <x:v>Not verified</x:v>
      </x:c>
      <x:c r="S21" s="4"/>
      <x:c r="T21" s="4" t="str">
        <x:v>Not verified</x:v>
      </x:c>
      <x:c r="U21" s="4" t="str">
        <x:v>B718; LAT718</x:v>
      </x:c>
      <x:c r="V21" s="4" t="str">
        <x:v>https://www.oceancoyacht.com/fleet/bravo-eugenia/
https://www.lateral.engineering/projects/bravo/</x:v>
      </x:c>
      <x:c r="W21" s="4" t="str">
        <x:v>Published accommodation is not a certified persons-on-board limit. Draft is not assumed to be maximum/design draft. Range speed/load condition is unverified.</x:v>
      </x:c>
    </x:row>
    <x:row r="22" ht="100" customHeight="1">
      <x:c r="A22" s="20" t="str">
        <x:v>Y719</x:v>
      </x:c>
      <x:c r="B22" s="20" t="str">
        <x:v>Infinity</x:v>
      </x:c>
      <x:c r="C22" s="24"/>
      <x:c r="D22" s="4" t="str">
        <x:v>Not verified</x:v>
      </x:c>
      <x:c r="E22" s="4" t="str">
        <x:v>Not verified</x:v>
      </x:c>
      <x:c r="F22" s="4" t="str">
        <x:v>Lateral; Oceanco</x:v>
      </x:c>
      <x:c r="G22" s="4" t="str">
        <x:v>Espen Øino</x:v>
      </x:c>
      <x:c r="H22" s="4" t="str">
        <x:v>Sinot; David Kleinberg</x:v>
      </x:c>
      <x:c r="I22" s="4" t="str">
        <x:v>Not verified</x:v>
      </x:c>
      <x:c r="J22" s="4" t="str">
        <x:v>Not verified</x:v>
      </x:c>
      <x:c r="K22" s="34"/>
      <x:c r="L22" s="34"/>
      <x:c r="M22" s="34"/>
      <x:c r="N22" s="34"/>
      <x:c r="O22" s="36" t="n">
        <x:v>16</x:v>
      </x:c>
      <x:c r="P22" s="36"/>
      <x:c r="Q22" s="36"/>
      <x:c r="R22" s="4" t="str">
        <x:v>Not verified</x:v>
      </x:c>
      <x:c r="S22" s="4"/>
      <x:c r="T22" s="4" t="str">
        <x:v>Not verified</x:v>
      </x:c>
      <x:c r="U22" s="4" t="str">
        <x:v>B719; LAT719</x:v>
      </x:c>
      <x:c r="V22" s="4" t="str">
        <x:v>https://www.oceancoyacht.com/fleet/infinity/
https://www.lateral.engineering/projects/Inifinity-117m/</x:v>
      </x:c>
      <x:c r="W22" s="4" t="str">
        <x:v>Published accommodation is not a certified persons-on-board limit. Draft is not assumed to be maximum/design draft. Range speed/load condition is unverified.</x:v>
      </x:c>
    </x:row>
    <x:row r="23" ht="100" customHeight="1">
      <x:c r="A23" s="20" t="str">
        <x:v>Y720</x:v>
      </x:c>
      <x:c r="B23" s="20" t="str">
        <x:v>Seven Seas</x:v>
      </x:c>
      <x:c r="C23" s="24"/>
      <x:c r="D23" s="4" t="str">
        <x:v>Not verified</x:v>
      </x:c>
      <x:c r="E23" s="4" t="str">
        <x:v>Not verified</x:v>
      </x:c>
      <x:c r="F23" s="4" t="str">
        <x:v>Lateral; Oceanco</x:v>
      </x:c>
      <x:c r="G23" s="4" t="str">
        <x:v>Sinot Yacht Architecture &amp; Design</x:v>
      </x:c>
      <x:c r="H23" s="4" t="str">
        <x:v>Sinot; Molly Isaksen (decoration)</x:v>
      </x:c>
      <x:c r="I23" s="4" t="str">
        <x:v>Not verified</x:v>
      </x:c>
      <x:c r="J23" s="4" t="str">
        <x:v>Not verified</x:v>
      </x:c>
      <x:c r="K23" s="34"/>
      <x:c r="L23" s="34" t="n">
        <x:v>20</x:v>
      </x:c>
      <x:c r="M23" s="34"/>
      <x:c r="N23" s="34"/>
      <x:c r="O23" s="36"/>
      <x:c r="P23" s="36"/>
      <x:c r="Q23" s="36"/>
      <x:c r="R23" s="4" t="str">
        <x:v>Not verified</x:v>
      </x:c>
      <x:c r="S23" s="4"/>
      <x:c r="T23" s="4" t="str">
        <x:v>Not verified</x:v>
      </x:c>
      <x:c r="U23" s="4" t="str">
        <x:v>B720; LAT720</x:v>
      </x:c>
      <x:c r="V23" s="4" t="str">
        <x:v>https://www.oceancoyacht.com/fleet/seven-seas/
https://www.lateral.engineering/projects/Seven-Seas-357ft/</x:v>
      </x:c>
      <x:c r="W23" s="4" t="str">
        <x:v>Published accommodation is not a certified persons-on-board limit. Draft is not assumed to be maximum/design draft. Range speed/load condition is unverified.</x:v>
      </x:c>
    </x:row>
    <x:row r="24" ht="100" customHeight="1">
      <x:c r="A24" s="20" t="str">
        <x:v>Y721</x:v>
      </x:c>
      <x:c r="B24" s="20" t="str">
        <x:v>Koru</x:v>
      </x:c>
      <x:c r="C24" s="24"/>
      <x:c r="D24" s="4" t="str">
        <x:v>Not verified</x:v>
      </x:c>
      <x:c r="E24" s="4" t="str">
        <x:v>Not verified</x:v>
      </x:c>
      <x:c r="F24" s="4" t="str">
        <x:v>Lateral; Dykstra Naval Architects</x:v>
      </x:c>
      <x:c r="G24" s="4" t="str">
        <x:v>Dykstra Naval Architects</x:v>
      </x:c>
      <x:c r="H24" s="4" t="str">
        <x:v>Tino Zervudachi &amp; Associés</x:v>
      </x:c>
      <x:c r="I24" s="4" t="str">
        <x:v>Not verified</x:v>
      </x:c>
      <x:c r="J24" s="4" t="str">
        <x:v>Not verified</x:v>
      </x:c>
      <x:c r="K24" s="34"/>
      <x:c r="L24" s="34"/>
      <x:c r="M24" s="34"/>
      <x:c r="N24" s="34"/>
      <x:c r="O24" s="36"/>
      <x:c r="P24" s="36"/>
      <x:c r="Q24" s="36"/>
      <x:c r="R24" s="4" t="str">
        <x:v>Not verified</x:v>
      </x:c>
      <x:c r="S24" s="4"/>
      <x:c r="T24" s="4" t="str">
        <x:v>Not verified</x:v>
      </x:c>
      <x:c r="U24" s="4" t="str">
        <x:v>B721</x:v>
      </x:c>
      <x:c r="V24" s="4" t="str">
        <x:v>https://www.oceancoyacht.com/fleet/koru/</x:v>
      </x:c>
      <x:c r="W24" s="4" t="str">
        <x:v>Published accommodation is not a certified persons-on-board limit. Draft is not assumed to be maximum/design draft. Range speed/load condition is unverified.</x:v>
      </x:c>
    </x:row>
    <x:row r="25" ht="100" customHeight="1">
      <x:c r="A25" s="20" t="str">
        <x:v>Y722</x:v>
      </x:c>
      <x:c r="B25" s="20" t="str">
        <x:v>Leviathan</x:v>
      </x:c>
      <x:c r="C25" s="24"/>
      <x:c r="D25" s="4" t="str">
        <x:v>Not verified</x:v>
      </x:c>
      <x:c r="E25" s="4" t="str">
        <x:v>Not verified</x:v>
      </x:c>
      <x:c r="F25" s="4" t="str">
        <x:v>Lateral; Oceanco</x:v>
      </x:c>
      <x:c r="G25" s="4" t="str">
        <x:v>Oceanco</x:v>
      </x:c>
      <x:c r="H25" s="4" t="str">
        <x:v>Mark Berryman</x:v>
      </x:c>
      <x:c r="I25" s="4" t="str">
        <x:v>Not verified</x:v>
      </x:c>
      <x:c r="J25" s="4" t="str">
        <x:v>Diesel-electric</x:v>
      </x:c>
      <x:c r="K25" s="34"/>
      <x:c r="L25" s="34"/>
      <x:c r="M25" s="34"/>
      <x:c r="N25" s="34"/>
      <x:c r="O25" s="36"/>
      <x:c r="P25" s="36"/>
      <x:c r="Q25" s="36"/>
      <x:c r="R25" s="4" t="str">
        <x:v>Not verified</x:v>
      </x:c>
      <x:c r="S25" s="4"/>
      <x:c r="T25" s="4" t="str">
        <x:v>Scientific and dive operations; medical facilities</x:v>
      </x:c>
      <x:c r="U25" s="4" t="str">
        <x:v>B722; LAT722</x:v>
      </x:c>
      <x:c r="V25" s="4" t="str">
        <x:v>https://www.oceancoyacht.com/fleet/leviathan/
https://www.lateral.engineering/projects/leviathan/</x:v>
      </x:c>
      <x:c r="W25" s="4" t="str">
        <x:v>Published accommodation is not a certified persons-on-board limit. Draft is not assumed to be maximum/design draft. Range speed/load condition is unverified.</x:v>
      </x:c>
    </x:row>
    <x:row r="26" ht="100" customHeight="1">
      <x:c r="A26" s="20" t="str">
        <x:v>Y726</x:v>
      </x:c>
      <x:c r="B26" s="20" t="str">
        <x:v>DreAMBoat</x:v>
      </x:c>
      <x:c r="C26" s="24"/>
      <x:c r="D26" s="4" t="str">
        <x:v>Not verified</x:v>
      </x:c>
      <x:c r="E26" s="4" t="str">
        <x:v>Not verified</x:v>
      </x:c>
      <x:c r="F26" s="4" t="str">
        <x:v>Lateral; Oceanco</x:v>
      </x:c>
      <x:c r="G26" s="4" t="str">
        <x:v>Espen Øino</x:v>
      </x:c>
      <x:c r="H26" s="4" t="str">
        <x:v>Mark Berryman</x:v>
      </x:c>
      <x:c r="I26" s="4" t="str">
        <x:v>Not verified</x:v>
      </x:c>
      <x:c r="J26" s="4" t="str">
        <x:v>Battery-supported energy / peak-load management</x:v>
      </x:c>
      <x:c r="K26" s="34"/>
      <x:c r="L26" s="34"/>
      <x:c r="M26" s="34"/>
      <x:c r="N26" s="34"/>
      <x:c r="O26" s="36"/>
      <x:c r="P26" s="36"/>
      <x:c r="Q26" s="36"/>
      <x:c r="R26" s="4" t="str">
        <x:v>Not verified</x:v>
      </x:c>
      <x:c r="S26" s="4"/>
      <x:c r="T26" s="4" t="str">
        <x:v>Not verified</x:v>
      </x:c>
      <x:c r="U26" s="4" t="str">
        <x:v>B726; LAT726</x:v>
      </x:c>
      <x:c r="V26" s="4" t="str">
        <x:v>https://www.oceancoyacht.com/fleet/dreamboat/
https://www.lateral.engineering/projects/y726-364ft/</x:v>
      </x:c>
      <x:c r="W26" s="4" t="str">
        <x:v>Published accommodation is not a certified persons-on-board limit. Draft is not assumed to be maximum/design draft. Range speed/load condition is unverified.</x:v>
      </x:c>
    </x:row>
  </x:sheetData>
  <x:mergeCells>
    <x:mergeCell ref="A1:W1"/>
    <x:mergeCell ref="A2:W2"/>
  </x:mergeCells>
  <x:pageMargins left="0.7" right="0.7" top="0.75" bottom="0.75" header="0.3" footer="0.3"/>
  <x:tableParts count="1">
    <x:tablePart xmlns:r="http://schemas.openxmlformats.org/officeDocument/2006/relationships" r:id="R2c838df8671f4e0a"/>
  </x:tableParts>
</x:worksheet>
</file>

<file path=xl/worksheets/sheet4.xml><?xml version="1.0" encoding="utf-8"?>
<x:worksheet xmlns:x="http://schemas.openxmlformats.org/spreadsheetml/2006/main">
  <x:sheetFormatPr defaultRowHeight="15"/>
  <x:cols>
    <x:col min="1" max="1" width="10" hidden="0" customWidth="1"/>
    <x:col min="2" max="2" width="23" hidden="0" customWidth="1"/>
    <x:col min="3" max="3" width="16" hidden="0" customWidth="1"/>
    <x:col min="4" max="4" width="16" hidden="0" customWidth="1"/>
    <x:col min="5" max="5" width="14" hidden="0" customWidth="1"/>
    <x:col min="6" max="6" width="16" hidden="0" customWidth="1"/>
    <x:col min="7" max="7" width="16" hidden="0" customWidth="1"/>
    <x:col min="8" max="8" width="14" hidden="0" customWidth="1"/>
    <x:col min="9" max="9" width="15" hidden="0" customWidth="1"/>
    <x:col min="10" max="10" width="15" hidden="0" customWidth="1"/>
    <x:col min="11" max="11" width="13" hidden="0" customWidth="1"/>
    <x:col min="12" max="12" width="15" hidden="0" customWidth="1"/>
    <x:col min="13" max="13" width="17" hidden="0" customWidth="1"/>
    <x:col min="14" max="14" width="15" hidden="0" customWidth="1"/>
    <x:col min="15" max="15" width="15" hidden="0" customWidth="1"/>
    <x:col min="16" max="16" width="40" hidden="0" customWidth="1"/>
    <x:col min="17" max="17" width="40" hidden="0" customWidth="1"/>
  </x:cols>
  <x:sheetData>
    <x:row r="1" ht="38" customHeight="1">
      <x:c r="A1" s="9" t="str">
        <x:v>SOURCE COMPARISON  |  DO NOT SILENTLY MERGE</x:v>
      </x:c>
      <x:c r="B1" s="9"/>
      <x:c r="C1" s="9"/>
      <x:c r="D1" s="9"/>
      <x:c r="E1" s="9"/>
      <x:c r="F1" s="9"/>
      <x:c r="G1" s="9"/>
      <x:c r="H1" s="9"/>
      <x:c r="I1" s="9"/>
      <x:c r="J1" s="9"/>
      <x:c r="K1" s="9"/>
      <x:c r="L1" s="9"/>
      <x:c r="M1" s="9"/>
      <x:c r="N1" s="9"/>
      <x:c r="O1" s="9"/>
      <x:c r="P1" s="9"/>
      <x:c r="Q1" s="9"/>
    </x:row>
    <x:row r="2" ht="36" customHeight="1">
      <x:c r="A2" s="12" t="str">
        <x:v>Deltas = preferred public value minus VesselFinder static value • differences identify review needs, not proof of error • blank database year was not separately recorded</x:v>
      </x:c>
      <x:c r="B2" s="12"/>
      <x:c r="C2" s="12"/>
      <x:c r="D2" s="12"/>
      <x:c r="E2" s="12"/>
      <x:c r="F2" s="12"/>
      <x:c r="G2" s="12"/>
      <x:c r="H2" s="12"/>
      <x:c r="I2" s="12"/>
      <x:c r="J2" s="12"/>
      <x:c r="K2" s="12"/>
      <x:c r="L2" s="12"/>
      <x:c r="M2" s="12"/>
      <x:c r="N2" s="12"/>
      <x:c r="O2" s="12"/>
      <x:c r="P2" s="12"/>
      <x:c r="Q2" s="12"/>
    </x:row>
    <x:row r="3" ht="9" customHeight="1">
      <x:c r="A3" s="4"/>
      <x:c r="B3" s="4"/>
      <x:c r="C3" s="4"/>
      <x:c r="D3" s="4"/>
      <x:c r="E3" s="4"/>
      <x:c r="F3" s="4"/>
      <x:c r="G3" s="4"/>
      <x:c r="H3" s="4"/>
      <x:c r="I3" s="4"/>
      <x:c r="J3" s="4"/>
      <x:c r="K3" s="4"/>
      <x:c r="L3" s="4"/>
      <x:c r="M3" s="4"/>
      <x:c r="N3" s="4"/>
      <x:c r="O3" s="4"/>
      <x:c r="P3" s="4"/>
      <x:c r="Q3" s="4"/>
    </x:row>
    <x:row r="4" ht="36" customHeight="1">
      <x:c r="A4" s="16" t="str">
        <x:v>Yard ID</x:v>
      </x:c>
      <x:c r="B4" s="16" t="str">
        <x:v>Vessel</x:v>
      </x:c>
      <x:c r="C4" s="16" t="str">
        <x:v>Preferred LOA (m)</x:v>
      </x:c>
      <x:c r="D4" s="16" t="str">
        <x:v>VF static LOA (m)</x:v>
      </x:c>
      <x:c r="E4" s="16" t="str">
        <x:v>Δ LOA (m)</x:v>
      </x:c>
      <x:c r="F4" s="16" t="str">
        <x:v>Preferred beam (m)</x:v>
      </x:c>
      <x:c r="G4" s="16" t="str">
        <x:v>VF static beam (m)</x:v>
      </x:c>
      <x:c r="H4" s="16" t="str">
        <x:v>Δ beam (m)</x:v>
      </x:c>
      <x:c r="I4" s="16" t="str">
        <x:v>Working GT</x:v>
      </x:c>
      <x:c r="J4" s="16" t="str">
        <x:v>VF static GT</x:v>
      </x:c>
      <x:c r="K4" s="16" t="str">
        <x:v>Δ GT</x:v>
      </x:c>
      <x:c r="L4" s="16" t="str">
        <x:v>Builder delivery year</x:v>
      </x:c>
      <x:c r="M4" s="16" t="str">
        <x:v>VF build year [checked]</x:v>
      </x:c>
      <x:c r="N4" s="16" t="str">
        <x:v>Year difference</x:v>
      </x:c>
      <x:c r="O4" s="16" t="str">
        <x:v>Review flag</x:v>
      </x:c>
      <x:c r="P4" s="16" t="str">
        <x:v>Key interpretation</x:v>
      </x:c>
      <x:c r="Q4" s="16" t="str">
        <x:v>Source URLs</x:v>
      </x:c>
    </x:row>
    <x:row r="5" ht="78" customHeight="1">
      <x:c r="A5" s="20" t="str">
        <x:v>Y701</x:v>
      </x:c>
      <x:c r="B5" s="20" t="str">
        <x:v>Batello</x:v>
      </x:c>
      <x:c r="C5" s="38" t="n">
        <x:v>80</x:v>
      </x:c>
      <x:c r="D5" s="38" t="n">
        <x:v>80</x:v>
      </x:c>
      <x:c r="E5" s="38" t="n">
        <x:f>ROUND(C5-D5,2)</x:f>
        <x:v>0</x:v>
      </x:c>
      <x:c r="F5" s="38" t="n">
        <x:v>14.2</x:v>
      </x:c>
      <x:c r="G5" s="38" t="n">
        <x:v>12</x:v>
      </x:c>
      <x:c r="H5" s="38" t="n">
        <x:f>ROUND(F5-G5,2)</x:f>
        <x:v>2.2</x:v>
      </x:c>
      <x:c r="I5" s="40" t="n">
        <x:v>2310</x:v>
      </x:c>
      <x:c r="J5" s="40" t="n">
        <x:v>2310</x:v>
      </x:c>
      <x:c r="K5" s="40" t="n">
        <x:f>I5-J5</x:f>
        <x:v>0</x:v>
      </x:c>
      <x:c r="L5" s="4" t="n">
        <x:v>2007</x:v>
      </x:c>
      <x:c r="M5" s="4"/>
      <x:c r="N5" s="4" t="str">
        <x:f>IF(M5="","",L5-M5)</x:f>
      </x:c>
      <x:c r="O5" s="4" t="str">
        <x:f>IF(OR(E5&lt;&gt;0,H5&lt;&gt;0,K5&lt;&gt;0,AND(M5&lt;&gt;"",L5&lt;&gt;M5)),"REVIEW","ALIGNED")</x:f>
        <x:v>REVIEW</x:v>
      </x:c>
      <x:c r="P5" s="4" t="str">
        <x:v>Builder beam 14.2m vs database 12.0m. Broker top-speed values conflict (19/20kn).</x:v>
      </x:c>
      <x:c r="Q5" s="4" t="str">
        <x:v>https://www.oceancoyacht.com/fleet/batello/
https://www.vesselfinder.com/vessels/details/1009118</x:v>
      </x:c>
    </x:row>
    <x:row r="6" ht="78" customHeight="1">
      <x:c r="A6" s="20" t="str">
        <x:v>Y702</x:v>
      </x:c>
      <x:c r="B6" s="20" t="str">
        <x:v>Alfa Nero</x:v>
      </x:c>
      <x:c r="C6" s="38" t="n">
        <x:v>82</x:v>
      </x:c>
      <x:c r="D6" s="38" t="n">
        <x:v>81.27</x:v>
      </x:c>
      <x:c r="E6" s="38" t="n">
        <x:f>ROUND(C6-D6,2)</x:f>
        <x:v>0.73</x:v>
      </x:c>
      <x:c r="F6" s="38" t="n">
        <x:v>14.2</x:v>
      </x:c>
      <x:c r="G6" s="38" t="n">
        <x:v>14.24</x:v>
      </x:c>
      <x:c r="H6" s="38" t="n">
        <x:f>ROUND(F6-G6,2)</x:f>
        <x:v>-0.04</x:v>
      </x:c>
      <x:c r="I6" s="40" t="n">
        <x:v>2159</x:v>
      </x:c>
      <x:c r="J6" s="40" t="n">
        <x:v>2159</x:v>
      </x:c>
      <x:c r="K6" s="40" t="n">
        <x:f>I6-J6</x:f>
        <x:v>0</x:v>
      </x:c>
      <x:c r="L6" s="4" t="n">
        <x:v>2007</x:v>
      </x:c>
      <x:c r="M6" s="4"/>
      <x:c r="N6" s="4" t="str">
        <x:f>IF(M6="","",L6-M6)</x:f>
      </x:c>
      <x:c r="O6" s="4" t="str">
        <x:f>IF(OR(E6&lt;&gt;0,H6&lt;&gt;0,K6&lt;&gt;0,AND(M6&lt;&gt;"",L6&lt;&gt;M6)),"REVIEW","ALIGNED")</x:f>
        <x:v>REVIEW</x:v>
      </x:c>
      <x:c r="P6" s="4" t="str">
        <x:v>Builder LOA 82m vs database 81.27m. Broker draft is not a certified maximum draft.</x:v>
      </x:c>
      <x:c r="Q6" s="4" t="str">
        <x:v>https://www.oceancoyacht.com/fleet/alfa-nero/
https://www.vesselfinder.com/vessels/details/1009376</x:v>
      </x:c>
    </x:row>
    <x:row r="7" ht="78" customHeight="1">
      <x:c r="A7" s="20" t="str">
        <x:v>Y703</x:v>
      </x:c>
      <x:c r="B7" s="20" t="str">
        <x:v>Wheels</x:v>
      </x:c>
      <x:c r="C7" s="38" t="n">
        <x:v>75.5</x:v>
      </x:c>
      <x:c r="D7" s="38" t="n">
        <x:v>75.5</x:v>
      </x:c>
      <x:c r="E7" s="38" t="n">
        <x:f>ROUND(C7-D7,2)</x:f>
        <x:v>0</x:v>
      </x:c>
      <x:c r="F7" s="38" t="n">
        <x:v>13.5</x:v>
      </x:c>
      <x:c r="G7" s="38" t="n">
        <x:v>13.38</x:v>
      </x:c>
      <x:c r="H7" s="38" t="n">
        <x:f>ROUND(F7-G7,2)</x:f>
        <x:v>0.12</x:v>
      </x:c>
      <x:c r="I7" s="40" t="n">
        <x:v>1991</x:v>
      </x:c>
      <x:c r="J7" s="40" t="n">
        <x:v>1991</x:v>
      </x:c>
      <x:c r="K7" s="40" t="n">
        <x:f>I7-J7</x:f>
        <x:v>0</x:v>
      </x:c>
      <x:c r="L7" s="4" t="n">
        <x:v>2008</x:v>
      </x:c>
      <x:c r="M7" s="4"/>
      <x:c r="N7" s="4" t="str">
        <x:f>IF(M7="","",L7-M7)</x:f>
      </x:c>
      <x:c r="O7" s="4" t="str">
        <x:f>IF(OR(E7&lt;&gt;0,H7&lt;&gt;0,K7&lt;&gt;0,AND(M7&lt;&gt;"",L7&lt;&gt;M7)),"REVIEW","ALIGNED")</x:f>
        <x:v>REVIEW</x:v>
      </x:c>
      <x:c r="P7" s="4" t="str">
        <x:v>Builder beam 13.5m; broker 13.49m; database 13.38m.</x:v>
      </x:c>
      <x:c r="Q7" s="4" t="str">
        <x:v>https://www.oceancoyacht.com/fleet/wheels/
https://www.vesselfinder.com/vessels/details/1009388</x:v>
      </x:c>
    </x:row>
    <x:row r="8" ht="78" customHeight="1">
      <x:c r="A8" s="20" t="str">
        <x:v>Y704</x:v>
      </x:c>
      <x:c r="B8" s="20" t="str">
        <x:v>Vibrant Curiosity</x:v>
      </x:c>
      <x:c r="C8" s="38" t="n">
        <x:v>85.5</x:v>
      </x:c>
      <x:c r="D8" s="38" t="n">
        <x:v>85.43</x:v>
      </x:c>
      <x:c r="E8" s="38" t="n">
        <x:f>ROUND(C8-D8,2)</x:f>
        <x:v>0.07</x:v>
      </x:c>
      <x:c r="F8" s="38" t="n">
        <x:v>14.2</x:v>
      </x:c>
      <x:c r="G8" s="38" t="n">
        <x:v>13.8</x:v>
      </x:c>
      <x:c r="H8" s="38" t="n">
        <x:f>ROUND(F8-G8,2)</x:f>
        <x:v>0.4</x:v>
      </x:c>
      <x:c r="I8" s="40" t="n">
        <x:v>2822</x:v>
      </x:c>
      <x:c r="J8" s="40" t="n">
        <x:v>2822</x:v>
      </x:c>
      <x:c r="K8" s="40" t="n">
        <x:f>I8-J8</x:f>
        <x:v>0</x:v>
      </x:c>
      <x:c r="L8" s="4" t="n">
        <x:v>2009</x:v>
      </x:c>
      <x:c r="M8" s="4"/>
      <x:c r="N8" s="4" t="str">
        <x:f>IF(M8="","",L8-M8)</x:f>
      </x:c>
      <x:c r="O8" s="4" t="str">
        <x:f>IF(OR(E8&lt;&gt;0,H8&lt;&gt;0,K8&lt;&gt;0,AND(M8&lt;&gt;"",L8&lt;&gt;M8)),"REVIEW","ALIGNED")</x:f>
        <x:v>REVIEW</x:v>
      </x:c>
      <x:c r="P8" s="4" t="str">
        <x:v>Builder 85.5 x 14.2m; database 85.43 x 13.8m.</x:v>
      </x:c>
      <x:c r="Q8" s="4" t="str">
        <x:v>https://www.oceancoyacht.com/fleet/vibrant-curiosity/
https://www.vesselfinder.com/vessels/details/1010002</x:v>
      </x:c>
    </x:row>
    <x:row r="9" ht="78" customHeight="1">
      <x:c r="A9" s="20" t="str">
        <x:v>Y705</x:v>
      </x:c>
      <x:c r="B9" s="20" t="str">
        <x:v>Sunrays</x:v>
      </x:c>
      <x:c r="C9" s="38" t="n">
        <x:v>85.5</x:v>
      </x:c>
      <x:c r="D9" s="38" t="n">
        <x:v>85.43</x:v>
      </x:c>
      <x:c r="E9" s="38" t="n">
        <x:f>ROUND(C9-D9,2)</x:f>
        <x:v>0.07</x:v>
      </x:c>
      <x:c r="F9" s="38" t="n">
        <x:v>14.2</x:v>
      </x:c>
      <x:c r="G9" s="38" t="n">
        <x:v>14.24</x:v>
      </x:c>
      <x:c r="H9" s="38" t="n">
        <x:f>ROUND(F9-G9,2)</x:f>
        <x:v>-0.04</x:v>
      </x:c>
      <x:c r="I9" s="40" t="n">
        <x:v>2867</x:v>
      </x:c>
      <x:c r="J9" s="40" t="n">
        <x:v>2867</x:v>
      </x:c>
      <x:c r="K9" s="40" t="n">
        <x:f>I9-J9</x:f>
        <x:v>0</x:v>
      </x:c>
      <x:c r="L9" s="4" t="n">
        <x:v>2010</x:v>
      </x:c>
      <x:c r="M9" s="4"/>
      <x:c r="N9" s="4" t="str">
        <x:f>IF(M9="","",L9-M9)</x:f>
      </x:c>
      <x:c r="O9" s="4" t="str">
        <x:f>IF(OR(E9&lt;&gt;0,H9&lt;&gt;0,K9&lt;&gt;0,AND(M9&lt;&gt;"",L9&lt;&gt;M9)),"REVIEW","ALIGNED")</x:f>
        <x:v>REVIEW</x:v>
      </x:c>
      <x:c r="P9" s="4" t="str">
        <x:v>Builder beam 14.2m; Edmiston 13.8m; database 14.24m.</x:v>
      </x:c>
      <x:c r="Q9" s="4" t="str">
        <x:v>https://www.oceancoyacht.com/fleet/sunrays/
https://www.vesselfinder.com/vessels/details/1010351</x:v>
      </x:c>
    </x:row>
    <x:row r="10" ht="78" customHeight="1">
      <x:c r="A10" s="20" t="str">
        <x:v>Y706</x:v>
      </x:c>
      <x:c r="B10" s="20" t="str">
        <x:v>Man of Steel</x:v>
      </x:c>
      <x:c r="C10" s="38" t="n">
        <x:v>86</x:v>
      </x:c>
      <x:c r="D10" s="38" t="n">
        <x:v>86.01</x:v>
      </x:c>
      <x:c r="E10" s="38" t="n">
        <x:f>ROUND(C10-D10,2)</x:f>
        <x:v>-0.01</x:v>
      </x:c>
      <x:c r="F10" s="38" t="n">
        <x:v>14.2</x:v>
      </x:c>
      <x:c r="G10" s="38" t="n">
        <x:v>14.2</x:v>
      </x:c>
      <x:c r="H10" s="38" t="n">
        <x:f>ROUND(F10-G10,2)</x:f>
        <x:v>0</x:v>
      </x:c>
      <x:c r="I10" s="40" t="n">
        <x:v>2658</x:v>
      </x:c>
      <x:c r="J10" s="40" t="n">
        <x:v>2658</x:v>
      </x:c>
      <x:c r="K10" s="40" t="n">
        <x:f>I10-J10</x:f>
        <x:v>0</x:v>
      </x:c>
      <x:c r="L10" s="4" t="n">
        <x:v>2010</x:v>
      </x:c>
      <x:c r="M10" s="4"/>
      <x:c r="N10" s="4" t="str">
        <x:f>IF(M10="","",L10-M10)</x:f>
      </x:c>
      <x:c r="O10" s="4" t="str">
        <x:f>IF(OR(E10&lt;&gt;0,H10&lt;&gt;0,K10&lt;&gt;0,AND(M10&lt;&gt;"",L10&lt;&gt;M10)),"REVIEW","ALIGNED")</x:f>
        <x:v>REVIEW</x:v>
      </x:c>
      <x:c r="P10" s="4" t="str">
        <x:v>LOA/year from builder fleet page; 14.2m beam from database because detail page unavailable.</x:v>
      </x:c>
      <x:c r="Q10" s="4" t="str">
        <x:v>https://www.oceancoyacht.com/fleet/?pag=2
https://www.vesselfinder.com/vessels/details/1010777</x:v>
      </x:c>
    </x:row>
    <x:row r="11" ht="78" customHeight="1">
      <x:c r="A11" s="20" t="str">
        <x:v>Y707</x:v>
      </x:c>
      <x:c r="B11" s="20" t="str">
        <x:v>Nirvana</x:v>
      </x:c>
      <x:c r="C11" s="38" t="n">
        <x:v>88.5</x:v>
      </x:c>
      <x:c r="D11" s="38" t="n">
        <x:v>88.39</x:v>
      </x:c>
      <x:c r="E11" s="38" t="n">
        <x:f>ROUND(C11-D11,2)</x:f>
        <x:v>0.11</x:v>
      </x:c>
      <x:c r="F11" s="38" t="n">
        <x:v>14.2</x:v>
      </x:c>
      <x:c r="G11" s="38" t="n">
        <x:v>14.2</x:v>
      </x:c>
      <x:c r="H11" s="38" t="n">
        <x:f>ROUND(F11-G11,2)</x:f>
        <x:v>0</x:v>
      </x:c>
      <x:c r="I11" s="40" t="n">
        <x:v>2786</x:v>
      </x:c>
      <x:c r="J11" s="40" t="n">
        <x:v>2786</x:v>
      </x:c>
      <x:c r="K11" s="40" t="n">
        <x:f>I11-J11</x:f>
        <x:v>0</x:v>
      </x:c>
      <x:c r="L11" s="4" t="n">
        <x:v>2012</x:v>
      </x:c>
      <x:c r="M11" s="4"/>
      <x:c r="N11" s="4" t="str">
        <x:f>IF(M11="","",L11-M11)</x:f>
      </x:c>
      <x:c r="O11" s="4" t="str">
        <x:f>IF(OR(E11&lt;&gt;0,H11&lt;&gt;0,K11&lt;&gt;0,AND(M11&lt;&gt;"",L11&lt;&gt;M11)),"REVIEW","ALIGNED")</x:f>
        <x:v>REVIEW</x:v>
      </x:c>
      <x:c r="P11" s="4" t="str">
        <x:v>Builder LOA 88.5m; database 88.39m.</x:v>
      </x:c>
      <x:c r="Q11" s="4" t="str">
        <x:v>https://www.oceancoyacht.com/fleet/nirvana/
https://www.vesselfinder.com/vessels/details/1011202</x:v>
      </x:c>
    </x:row>
    <x:row r="12" ht="78" customHeight="1">
      <x:c r="A12" s="20" t="str">
        <x:v>Y708</x:v>
      </x:c>
      <x:c r="B12" s="20" t="str">
        <x:v>Amore Vero</x:v>
      </x:c>
      <x:c r="C12" s="38" t="n">
        <x:v>85.6</x:v>
      </x:c>
      <x:c r="D12" s="38" t="n">
        <x:v>88.39</x:v>
      </x:c>
      <x:c r="E12" s="38" t="n">
        <x:f>ROUND(C12-D12,2)</x:f>
        <x:v>-2.79</x:v>
      </x:c>
      <x:c r="F12" s="38" t="n">
        <x:v>14.2</x:v>
      </x:c>
      <x:c r="G12" s="38" t="n">
        <x:v>14.2</x:v>
      </x:c>
      <x:c r="H12" s="38" t="n">
        <x:f>ROUND(F12-G12,2)</x:f>
        <x:v>0</x:v>
      </x:c>
      <x:c r="I12" s="40" t="n">
        <x:v>2744</x:v>
      </x:c>
      <x:c r="J12" s="40" t="n">
        <x:v>2744</x:v>
      </x:c>
      <x:c r="K12" s="40" t="n">
        <x:f>I12-J12</x:f>
        <x:v>0</x:v>
      </x:c>
      <x:c r="L12" s="4" t="n">
        <x:v>2013</x:v>
      </x:c>
      <x:c r="M12" s="4"/>
      <x:c r="N12" s="4" t="str">
        <x:f>IF(M12="","",L12-M12)</x:f>
      </x:c>
      <x:c r="O12" s="4" t="str">
        <x:f>IF(OR(E12&lt;&gt;0,H12&lt;&gt;0,K12&lt;&gt;0,AND(M12&lt;&gt;"",L12&lt;&gt;M12)),"REVIEW","ALIGNED")</x:f>
        <x:v>REVIEW</x:v>
      </x:c>
      <x:c r="P12" s="4" t="str">
        <x:v>Builder LOA 85.6m vs database 88.39m; do not merge these dimensions.</x:v>
      </x:c>
      <x:c r="Q12" s="4" t="str">
        <x:v>https://www.oceancoyacht.com/fleet/amore-vero/
https://www.vesselfinder.com/vessels/details/1011757</x:v>
      </x:c>
    </x:row>
    <x:row r="13" ht="78" customHeight="1">
      <x:c r="A13" s="20" t="str">
        <x:v>Y709</x:v>
      </x:c>
      <x:c r="B13" s="20" t="str">
        <x:v>Draak</x:v>
      </x:c>
      <x:c r="C13" s="38" t="n">
        <x:v>92.9</x:v>
      </x:c>
      <x:c r="D13" s="38" t="n">
        <x:v>91.5</x:v>
      </x:c>
      <x:c r="E13" s="38" t="n">
        <x:f>ROUND(C13-D13,2)</x:f>
        <x:v>1.4</x:v>
      </x:c>
      <x:c r="F13" s="38" t="n">
        <x:v>14.5</x:v>
      </x:c>
      <x:c r="G13" s="38" t="n">
        <x:v>14.6</x:v>
      </x:c>
      <x:c r="H13" s="38" t="n">
        <x:f>ROUND(F13-G13,2)</x:f>
        <x:v>-0.1</x:v>
      </x:c>
      <x:c r="I13" s="40" t="n">
        <x:v>2894</x:v>
      </x:c>
      <x:c r="J13" s="40" t="n">
        <x:v>2894</x:v>
      </x:c>
      <x:c r="K13" s="40" t="n">
        <x:f>I13-J13</x:f>
        <x:v>0</x:v>
      </x:c>
      <x:c r="L13" s="4" t="n">
        <x:v>2014</x:v>
      </x:c>
      <x:c r="M13" s="4"/>
      <x:c r="N13" s="4" t="str">
        <x:f>IF(M13="","",L13-M13)</x:f>
      </x:c>
      <x:c r="O13" s="4" t="str">
        <x:f>IF(OR(E13&lt;&gt;0,H13&lt;&gt;0,K13&lt;&gt;0,AND(M13&lt;&gt;"",L13&lt;&gt;M13)),"REVIEW","ALIGNED")</x:f>
        <x:v>REVIEW</x:v>
      </x:c>
      <x:c r="P13" s="4" t="str">
        <x:v>Builder 92.9 x 14.5m after June 2026 rebuild. Database 91.5 x 14.6m / 2894GT may be pre-refit; obtain new ITC.</x:v>
      </x:c>
      <x:c r="Q13" s="4" t="str">
        <x:v>https://www.oceancoyacht.com/fleet/draak/
https://www.vesselfinder.com/vessels/details/1012086</x:v>
      </x:c>
    </x:row>
    <x:row r="14" ht="78" customHeight="1">
      <x:c r="A14" s="20" t="str">
        <x:v>Y710</x:v>
      </x:c>
      <x:c r="B14" s="20" t="str">
        <x:v>Samsara</x:v>
      </x:c>
      <x:c r="C14" s="38" t="n">
        <x:v>89</x:v>
      </x:c>
      <x:c r="D14" s="38" t="n">
        <x:v>89</x:v>
      </x:c>
      <x:c r="E14" s="38" t="n">
        <x:f>ROUND(C14-D14,2)</x:f>
        <x:v>0</x:v>
      </x:c>
      <x:c r="F14" s="38" t="n">
        <x:v>14.2</x:v>
      </x:c>
      <x:c r="G14" s="38" t="n">
        <x:v>14</x:v>
      </x:c>
      <x:c r="H14" s="38" t="n">
        <x:f>ROUND(F14-G14,2)</x:f>
        <x:v>0.2</x:v>
      </x:c>
      <x:c r="I14" s="40" t="n">
        <x:v>2914</x:v>
      </x:c>
      <x:c r="J14" s="40" t="n">
        <x:v>2914</x:v>
      </x:c>
      <x:c r="K14" s="40" t="n">
        <x:f>I14-J14</x:f>
        <x:v>0</x:v>
      </x:c>
      <x:c r="L14" s="4" t="n">
        <x:v>2015</x:v>
      </x:c>
      <x:c r="M14" s="4"/>
      <x:c r="N14" s="4" t="str">
        <x:f>IF(M14="","",L14-M14)</x:f>
      </x:c>
      <x:c r="O14" s="4" t="str">
        <x:f>IF(OR(E14&lt;&gt;0,H14&lt;&gt;0,K14&lt;&gt;0,AND(M14&lt;&gt;"",L14&lt;&gt;M14)),"REVIEW","ALIGNED")</x:f>
        <x:v>REVIEW</x:v>
      </x:c>
      <x:c r="P14" s="4" t="str">
        <x:v>Builder beam 14.2m vs database 14.0m. Distinct from 117m Infinity.</x:v>
      </x:c>
      <x:c r="Q14" s="4" t="str">
        <x:v>https://www.oceancoyacht.com/fleet/samsara/
https://www.vesselfinder.com/vessels/details/1012177</x:v>
      </x:c>
    </x:row>
    <x:row r="15" ht="78" customHeight="1">
      <x:c r="A15" s="20" t="str">
        <x:v>Y711</x:v>
      </x:c>
      <x:c r="B15" s="20" t="str">
        <x:v>AQuiJo</x:v>
      </x:c>
      <x:c r="C15" s="38" t="n">
        <x:v>85</x:v>
      </x:c>
      <x:c r="D15" s="38" t="n">
        <x:v>85</x:v>
      </x:c>
      <x:c r="E15" s="38" t="n">
        <x:f>ROUND(C15-D15,2)</x:f>
        <x:v>0</x:v>
      </x:c>
      <x:c r="F15" s="38" t="n">
        <x:v>14.5</x:v>
      </x:c>
      <x:c r="G15" s="38" t="n">
        <x:v>14.4</x:v>
      </x:c>
      <x:c r="H15" s="38" t="n">
        <x:f>ROUND(F15-G15,2)</x:f>
        <x:v>0.1</x:v>
      </x:c>
      <x:c r="I15" s="40" t="n">
        <x:v>1540</x:v>
      </x:c>
      <x:c r="J15" s="40" t="n">
        <x:v>1540</x:v>
      </x:c>
      <x:c r="K15" s="40" t="n">
        <x:f>I15-J15</x:f>
        <x:v>0</x:v>
      </x:c>
      <x:c r="L15" s="4" t="n">
        <x:v>2016</x:v>
      </x:c>
      <x:c r="M15" s="4"/>
      <x:c r="N15" s="4" t="str">
        <x:f>IF(M15="","",L15-M15)</x:f>
      </x:c>
      <x:c r="O15" s="4" t="str">
        <x:f>IF(OR(E15&lt;&gt;0,H15&lt;&gt;0,K15&lt;&gt;0,AND(M15&lt;&gt;"",L15&lt;&gt;M15)),"REVIEW","ALIGNED")</x:f>
        <x:v>REVIEW</x:v>
      </x:c>
      <x:c r="P15" s="4" t="str">
        <x:v>Builder LOA 85m vs broker 86m. Database 1540GT vs Y.CO 1538GT; both unverified.</x:v>
      </x:c>
      <x:c r="Q15" s="4" t="str">
        <x:v>https://www.oceancoyacht.com/fleet/aquijo/
https://www.vesselfinder.com/vessels/details/1012529</x:v>
      </x:c>
    </x:row>
    <x:row r="16" ht="78" customHeight="1">
      <x:c r="A16" s="20" t="str">
        <x:v>Y712</x:v>
      </x:c>
      <x:c r="B16" s="20" t="str">
        <x:v>Black Pearl</x:v>
      </x:c>
      <x:c r="C16" s="38" t="n">
        <x:v>106.7</x:v>
      </x:c>
      <x:c r="D16" s="38" t="n">
        <x:v>105</x:v>
      </x:c>
      <x:c r="E16" s="38" t="n">
        <x:f>ROUND(C16-D16,2)</x:f>
        <x:v>1.7</x:v>
      </x:c>
      <x:c r="F16" s="38" t="n">
        <x:v>15</x:v>
      </x:c>
      <x:c r="G16" s="38" t="n">
        <x:v>14.98</x:v>
      </x:c>
      <x:c r="H16" s="38" t="n">
        <x:f>ROUND(F16-G16,2)</x:f>
        <x:v>0.02</x:v>
      </x:c>
      <x:c r="I16" s="40" t="n">
        <x:v>2864</x:v>
      </x:c>
      <x:c r="J16" s="40" t="n">
        <x:v>2864</x:v>
      </x:c>
      <x:c r="K16" s="40" t="n">
        <x:f>I16-J16</x:f>
        <x:v>0</x:v>
      </x:c>
      <x:c r="L16" s="4" t="n">
        <x:v>2018</x:v>
      </x:c>
      <x:c r="M16" s="4" t="n">
        <x:v>2018</x:v>
      </x:c>
      <x:c r="N16" s="4" t="n">
        <x:f>IF(M16="","",L16-M16)</x:f>
        <x:v>0</x:v>
      </x:c>
      <x:c r="O16" s="4" t="str">
        <x:f>IF(OR(E16&lt;&gt;0,H16&lt;&gt;0,K16&lt;&gt;0,AND(M16&lt;&gt;"",L16&lt;&gt;M16)),"REVIEW","ALIGNED")</x:f>
        <x:v>REVIEW</x:v>
      </x:c>
      <x:c r="P16" s="4" t="str">
        <x:v>Builder 106.7m vs database 105m. Builder 2018 is delivery, not launch. 30kn is sailing, not engine speed.</x:v>
      </x:c>
      <x:c r="Q16" s="4" t="str">
        <x:v>https://www.oceancoyacht.com/fleet/black-pearl/
https://www.vesselfinder.com/vessels/details/1012490</x:v>
      </x:c>
    </x:row>
    <x:row r="17" ht="78" customHeight="1">
      <x:c r="A17" s="20" t="str">
        <x:v>Y714</x:v>
      </x:c>
      <x:c r="B17" s="20" t="str">
        <x:v>KAOS</x:v>
      </x:c>
      <x:c r="C17" s="38" t="n">
        <x:v>110</x:v>
      </x:c>
      <x:c r="D17" s="38" t="n">
        <x:v>105</x:v>
      </x:c>
      <x:c r="E17" s="38" t="n">
        <x:f>ROUND(C17-D17,2)</x:f>
        <x:v>5</x:v>
      </x:c>
      <x:c r="F17" s="38" t="n">
        <x:v>16.4</x:v>
      </x:c>
      <x:c r="G17" s="38" t="n">
        <x:v>16</x:v>
      </x:c>
      <x:c r="H17" s="38" t="n">
        <x:f>ROUND(F17-G17,2)</x:f>
        <x:v>0.4</x:v>
      </x:c>
      <x:c r="I17" s="40" t="n">
        <x:v>4523</x:v>
      </x:c>
      <x:c r="J17" s="40" t="n">
        <x:v>4523</x:v>
      </x:c>
      <x:c r="K17" s="40" t="n">
        <x:f>I17-J17</x:f>
        <x:v>0</x:v>
      </x:c>
      <x:c r="L17" s="4" t="n">
        <x:v>2017</x:v>
      </x:c>
      <x:c r="M17" s="4"/>
      <x:c r="N17" s="4" t="str">
        <x:f>IF(M17="","",L17-M17)</x:f>
      </x:c>
      <x:c r="O17" s="4" t="str">
        <x:f>IF(OR(E17&lt;&gt;0,H17&lt;&gt;0,K17&lt;&gt;0,AND(M17&lt;&gt;"",L17&lt;&gt;M17)),"REVIEW","ALIGNED")</x:f>
        <x:v>REVIEW</x:v>
      </x:c>
      <x:c r="P17" s="4" t="str">
        <x:v>Builder LOA 110m vs database 105m; beam 16.4m vs 16m. Interior credit is original build.</x:v>
      </x:c>
      <x:c r="Q17" s="4" t="str">
        <x:v>https://www.oceancoyacht.com/fleet/kaos/
https://www.vesselfinder.com/vessels/details/1012610</x:v>
      </x:c>
    </x:row>
    <x:row r="18" ht="78" customHeight="1">
      <x:c r="A18" s="20" t="str">
        <x:v>Y715</x:v>
      </x:c>
      <x:c r="B18" s="20" t="str">
        <x:v>Barbara</x:v>
      </x:c>
      <x:c r="C18" s="38" t="n">
        <x:v>88.5</x:v>
      </x:c>
      <x:c r="D18" s="38" t="n">
        <x:v>88.5</x:v>
      </x:c>
      <x:c r="E18" s="38" t="n">
        <x:f>ROUND(C18-D18,2)</x:f>
        <x:v>0</x:v>
      </x:c>
      <x:c r="F18" s="38" t="n">
        <x:v>14.5</x:v>
      </x:c>
      <x:c r="G18" s="38" t="n">
        <x:v>14.45</x:v>
      </x:c>
      <x:c r="H18" s="38" t="n">
        <x:f>ROUND(F18-G18,2)</x:f>
        <x:v>0.05</x:v>
      </x:c>
      <x:c r="I18" s="40" t="n">
        <x:v>2984</x:v>
      </x:c>
      <x:c r="J18" s="40" t="n">
        <x:v>2984</x:v>
      </x:c>
      <x:c r="K18" s="40" t="n">
        <x:f>I18-J18</x:f>
        <x:v>0</x:v>
      </x:c>
      <x:c r="L18" s="4" t="n">
        <x:v>2017</x:v>
      </x:c>
      <x:c r="M18" s="4"/>
      <x:c r="N18" s="4" t="str">
        <x:f>IF(M18="","",L18-M18)</x:f>
      </x:c>
      <x:c r="O18" s="4" t="str">
        <x:f>IF(OR(E18&lt;&gt;0,H18&lt;&gt;0,K18&lt;&gt;0,AND(M18&lt;&gt;"",L18&lt;&gt;M18)),"REVIEW","ALIGNED")</x:f>
        <x:v>REVIEW</x:v>
      </x:c>
      <x:c r="P18" s="4" t="str">
        <x:v>Builder beam 14.5m; designer as-built 14.2m; database 14.45m. Supplemental data is 2017 configuration.</x:v>
      </x:c>
      <x:c r="Q18" s="4" t="str">
        <x:v>https://www.oceancoyacht.com/fleet/barbara/
https://www.vesselfinder.com/vessels/details/1012725</x:v>
      </x:c>
    </x:row>
    <x:row r="19" ht="78" customHeight="1">
      <x:c r="A19" s="20" t="str">
        <x:v>Y716</x:v>
      </x:c>
      <x:c r="B19" s="20" t="str">
        <x:v>SHODAN</x:v>
      </x:c>
      <x:c r="C19" s="38" t="n">
        <x:v>90</x:v>
      </x:c>
      <x:c r="D19" s="38" t="n">
        <x:v>90</x:v>
      </x:c>
      <x:c r="E19" s="38" t="n">
        <x:f>ROUND(C19-D19,2)</x:f>
        <x:v>0</x:v>
      </x:c>
      <x:c r="F19" s="38" t="n">
        <x:v>14.2</x:v>
      </x:c>
      <x:c r="G19" s="38" t="n">
        <x:v>14.2</x:v>
      </x:c>
      <x:c r="H19" s="38" t="n">
        <x:f>ROUND(F19-G19,2)</x:f>
        <x:v>0</x:v>
      </x:c>
      <x:c r="I19" s="40" t="n">
        <x:v>2946</x:v>
      </x:c>
      <x:c r="J19" s="40" t="n">
        <x:v>2946</x:v>
      </x:c>
      <x:c r="K19" s="40" t="n">
        <x:f>I19-J19</x:f>
        <x:v>0</x:v>
      </x:c>
      <x:c r="L19" s="4" t="n">
        <x:v>2019</x:v>
      </x:c>
      <x:c r="M19" s="4"/>
      <x:c r="N19" s="4" t="str">
        <x:f>IF(M19="","",L19-M19)</x:f>
      </x:c>
      <x:c r="O19" s="4" t="str">
        <x:f>IF(OR(E19&lt;&gt;0,H19&lt;&gt;0,K19&lt;&gt;0,AND(M19&lt;&gt;"",L19&lt;&gt;M19)),"REVIEW","ALIGNED")</x:f>
        <x:v>ALIGNED</x:v>
      </x:c>
      <x:c r="P19" s="4" t="str">
        <x:v>Former 90m DreAMBoat; separate IMO and yard number from 111m DreAMBoat (Y726).</x:v>
      </x:c>
      <x:c r="Q19" s="4" t="str">
        <x:v>https://www.oceancoyacht.com/fleet/shodan/
https://www.vesselfinder.com/vessels/details/1012919</x:v>
      </x:c>
    </x:row>
    <x:row r="20" ht="78" customHeight="1">
      <x:c r="A20" s="20" t="str">
        <x:v>Y717</x:v>
      </x:c>
      <x:c r="B20" s="20" t="str">
        <x:v>LUNA</x:v>
      </x:c>
      <x:c r="C20" s="38" t="n">
        <x:v>90</x:v>
      </x:c>
      <x:c r="D20" s="38" t="n">
        <x:v>90.13</x:v>
      </x:c>
      <x:c r="E20" s="38" t="n">
        <x:f>ROUND(C20-D20,2)</x:f>
        <x:v>-0.13</x:v>
      </x:c>
      <x:c r="F20" s="38" t="n">
        <x:v>14.2</x:v>
      </x:c>
      <x:c r="G20" s="38" t="n">
        <x:v>13.8</x:v>
      </x:c>
      <x:c r="H20" s="38" t="n">
        <x:f>ROUND(F20-G20,2)</x:f>
        <x:v>0.4</x:v>
      </x:c>
      <x:c r="I20" s="40" t="n">
        <x:v>2926</x:v>
      </x:c>
      <x:c r="J20" s="40" t="n">
        <x:v>2926</x:v>
      </x:c>
      <x:c r="K20" s="40" t="n">
        <x:f>I20-J20</x:f>
        <x:v>0</x:v>
      </x:c>
      <x:c r="L20" s="4" t="n">
        <x:v>2018</x:v>
      </x:c>
      <x:c r="M20" s="4"/>
      <x:c r="N20" s="4" t="str">
        <x:f>IF(M20="","",L20-M20)</x:f>
      </x:c>
      <x:c r="O20" s="4" t="str">
        <x:f>IF(OR(E20&lt;&gt;0,H20&lt;&gt;0,K20&lt;&gt;0,AND(M20&lt;&gt;"",L20&lt;&gt;M20)),"REVIEW","ALIGNED")</x:f>
        <x:v>REVIEW</x:v>
      </x:c>
      <x:c r="P20" s="4" t="str">
        <x:v>Builder rounds LOA to 90m; Y.CO/database give 90.13m. Database beam 13.8m vs builder 14.2m.</x:v>
      </x:c>
      <x:c r="Q20" s="4" t="str">
        <x:v>https://www.oceancoyacht.com/fleet/luna/
https://www.vesselfinder.com/vessels/details/1013066</x:v>
      </x:c>
    </x:row>
    <x:row r="21" ht="78" customHeight="1">
      <x:c r="A21" s="20" t="str">
        <x:v>Y718</x:v>
      </x:c>
      <x:c r="B21" s="20" t="str">
        <x:v>Bravo Eugenia</x:v>
      </x:c>
      <x:c r="C21" s="38" t="n">
        <x:v>109</x:v>
      </x:c>
      <x:c r="D21" s="38" t="n">
        <x:v>109</x:v>
      </x:c>
      <x:c r="E21" s="38" t="n">
        <x:f>ROUND(C21-D21,2)</x:f>
        <x:v>0</x:v>
      </x:c>
      <x:c r="F21" s="38" t="n">
        <x:v>16.3</x:v>
      </x:c>
      <x:c r="G21" s="38" t="n">
        <x:v>16</x:v>
      </x:c>
      <x:c r="H21" s="38" t="n">
        <x:f>ROUND(F21-G21,2)</x:f>
        <x:v>0.3</x:v>
      </x:c>
      <x:c r="I21" s="40" t="n">
        <x:v>3418</x:v>
      </x:c>
      <x:c r="J21" s="40" t="n">
        <x:v>3418</x:v>
      </x:c>
      <x:c r="K21" s="40" t="n">
        <x:f>I21-J21</x:f>
        <x:v>0</x:v>
      </x:c>
      <x:c r="L21" s="4" t="n">
        <x:v>2018</x:v>
      </x:c>
      <x:c r="M21" s="4"/>
      <x:c r="N21" s="4" t="str">
        <x:f>IF(M21="","",L21-M21)</x:f>
      </x:c>
      <x:c r="O21" s="4" t="str">
        <x:f>IF(OR(E21&lt;&gt;0,H21&lt;&gt;0,K21&lt;&gt;0,AND(M21&lt;&gt;"",L21&lt;&gt;M21)),"REVIEW","ALIGNED")</x:f>
        <x:v>REVIEW</x:v>
      </x:c>
      <x:c r="P21" s="4" t="str">
        <x:v>Builder beam 16.3m vs database 16m.</x:v>
      </x:c>
      <x:c r="Q21" s="4" t="str">
        <x:v>https://www.oceancoyacht.com/fleet/bravo-eugenia/
https://www.vesselfinder.com/vessels/details/1012921</x:v>
      </x:c>
    </x:row>
    <x:row r="22" ht="78" customHeight="1">
      <x:c r="A22" s="20" t="str">
        <x:v>Y719</x:v>
      </x:c>
      <x:c r="B22" s="20" t="str">
        <x:v>Infinity</x:v>
      </x:c>
      <x:c r="C22" s="38" t="n">
        <x:v>117</x:v>
      </x:c>
      <x:c r="D22" s="38" t="n">
        <x:v>117</x:v>
      </x:c>
      <x:c r="E22" s="38" t="n">
        <x:f>ROUND(C22-D22,2)</x:f>
        <x:v>0</x:v>
      </x:c>
      <x:c r="F22" s="38" t="n">
        <x:v>16.5</x:v>
      </x:c>
      <x:c r="G22" s="38" t="n">
        <x:v>17</x:v>
      </x:c>
      <x:c r="H22" s="38" t="n">
        <x:f>ROUND(F22-G22,2)</x:f>
        <x:v>-0.5</x:v>
      </x:c>
      <x:c r="I22" s="40" t="n">
        <x:v>4978</x:v>
      </x:c>
      <x:c r="J22" s="40" t="n">
        <x:v>4978</x:v>
      </x:c>
      <x:c r="K22" s="40" t="n">
        <x:f>I22-J22</x:f>
        <x:v>0</x:v>
      </x:c>
      <x:c r="L22" s="4" t="n">
        <x:v>2022</x:v>
      </x:c>
      <x:c r="M22" s="4" t="n">
        <x:v>2022</x:v>
      </x:c>
      <x:c r="N22" s="4" t="n">
        <x:f>IF(M22="","",L22-M22)</x:f>
        <x:v>0</x:v>
      </x:c>
      <x:c r="O22" s="4" t="str">
        <x:f>IF(OR(E22&lt;&gt;0,H22&lt;&gt;0,K22&lt;&gt;0,AND(M22&lt;&gt;"",L22&lt;&gt;M22)),"REVIEW","ALIGNED")</x:f>
        <x:v>REVIEW</x:v>
      </x:c>
      <x:c r="P22" s="4" t="str">
        <x:v>Builder beam 16.5m vs database 17m. Distinct from original 89m Infinity (now Samsara).</x:v>
      </x:c>
      <x:c r="Q22" s="4" t="str">
        <x:v>https://www.oceancoyacht.com/fleet/infinity/
https://www.vesselfinder.com/vessels/details/9817896</x:v>
      </x:c>
    </x:row>
    <x:row r="23" ht="78" customHeight="1">
      <x:c r="A23" s="20" t="str">
        <x:v>Y720</x:v>
      </x:c>
      <x:c r="B23" s="20" t="str">
        <x:v>Seven Seas</x:v>
      </x:c>
      <x:c r="C23" s="38" t="n">
        <x:v>109</x:v>
      </x:c>
      <x:c r="D23" s="38" t="n">
        <x:v>125</x:v>
      </x:c>
      <x:c r="E23" s="38" t="n">
        <x:f>ROUND(C23-D23,2)</x:f>
        <x:v>-16</x:v>
      </x:c>
      <x:c r="F23" s="38" t="n">
        <x:v>16</x:v>
      </x:c>
      <x:c r="G23" s="38" t="n">
        <x:v>17</x:v>
      </x:c>
      <x:c r="H23" s="38" t="n">
        <x:f>ROUND(F23-G23,2)</x:f>
        <x:v>-1</x:v>
      </x:c>
      <x:c r="I23" s="40" t="n">
        <x:v>4444</x:v>
      </x:c>
      <x:c r="J23" s="40" t="n">
        <x:v>4444</x:v>
      </x:c>
      <x:c r="K23" s="40" t="n">
        <x:f>I23-J23</x:f>
        <x:v>0</x:v>
      </x:c>
      <x:c r="L23" s="4" t="n">
        <x:v>2023</x:v>
      </x:c>
      <x:c r="M23" s="4" t="n">
        <x:v>2022</x:v>
      </x:c>
      <x:c r="N23" s="4" t="n">
        <x:f>IF(M23="","",L23-M23)</x:f>
        <x:v>1</x:v>
      </x:c>
      <x:c r="O23" s="4" t="str">
        <x:f>IF(OR(E23&lt;&gt;0,H23&lt;&gt;0,K23&lt;&gt;0,AND(M23&lt;&gt;"",L23&lt;&gt;M23)),"REVIEW","ALIGNED")</x:f>
        <x:v>REVIEW</x:v>
      </x:c>
      <x:c r="P23" s="4" t="str">
        <x:v>Database static 125 x 17m / 2022 is quarantined. Builder 109 x 16m / 2023; database AIS dimensions also 109 x 16m.</x:v>
      </x:c>
      <x:c r="Q23" s="4" t="str">
        <x:v>https://www.oceancoyacht.com/fleet/seven-seas/
https://www.vesselfinder.com/vessels/details/9840178</x:v>
      </x:c>
    </x:row>
    <x:row r="24" ht="78" customHeight="1">
      <x:c r="A24" s="20" t="str">
        <x:v>Y721</x:v>
      </x:c>
      <x:c r="B24" s="20" t="str">
        <x:v>Koru</x:v>
      </x:c>
      <x:c r="C24" s="38" t="n">
        <x:v>125</x:v>
      </x:c>
      <x:c r="D24" s="38" t="n">
        <x:v>125</x:v>
      </x:c>
      <x:c r="E24" s="38" t="n">
        <x:f>ROUND(C24-D24,2)</x:f>
        <x:v>0</x:v>
      </x:c>
      <x:c r="F24" s="38" t="n">
        <x:v>17.2</x:v>
      </x:c>
      <x:c r="G24" s="38" t="n">
        <x:v>17</x:v>
      </x:c>
      <x:c r="H24" s="38" t="n">
        <x:f>ROUND(F24-G24,2)</x:f>
        <x:v>0.2</x:v>
      </x:c>
      <x:c r="I24" s="40" t="n">
        <x:v>3493</x:v>
      </x:c>
      <x:c r="J24" s="40" t="n">
        <x:v>3493</x:v>
      </x:c>
      <x:c r="K24" s="40" t="n">
        <x:f>I24-J24</x:f>
        <x:v>0</x:v>
      </x:c>
      <x:c r="L24" s="4" t="n">
        <x:v>2023</x:v>
      </x:c>
      <x:c r="M24" s="4"/>
      <x:c r="N24" s="4" t="str">
        <x:f>IF(M24="","",L24-M24)</x:f>
      </x:c>
      <x:c r="O24" s="4" t="str">
        <x:f>IF(OR(E24&lt;&gt;0,H24&lt;&gt;0,K24&lt;&gt;0,AND(M24&lt;&gt;"",L24&lt;&gt;M24)),"REVIEW","ALIGNED")</x:f>
        <x:v>REVIEW</x:v>
      </x:c>
      <x:c r="P24" s="4" t="str">
        <x:v>Builder 125 x 17.2m. Lateral title says 125m, body 127 x 16m. Database beam 17m.</x:v>
      </x:c>
      <x:c r="Q24" s="4" t="str">
        <x:v>https://www.oceancoyacht.com/fleet/koru/
https://www.vesselfinder.com/vessels/details/9857298</x:v>
      </x:c>
    </x:row>
    <x:row r="25" ht="78" customHeight="1">
      <x:c r="A25" s="20" t="str">
        <x:v>Y722</x:v>
      </x:c>
      <x:c r="B25" s="20" t="str">
        <x:v>Leviathan</x:v>
      </x:c>
      <x:c r="C25" s="38" t="n">
        <x:v>111</x:v>
      </x:c>
      <x:c r="D25" s="38" t="n">
        <x:v>110</x:v>
      </x:c>
      <x:c r="E25" s="38" t="n">
        <x:f>ROUND(C25-D25,2)</x:f>
        <x:v>1</x:v>
      </x:c>
      <x:c r="F25" s="38" t="n">
        <x:v>17.8</x:v>
      </x:c>
      <x:c r="G25" s="38" t="n">
        <x:v>15</x:v>
      </x:c>
      <x:c r="H25" s="38" t="n">
        <x:f>ROUND(F25-G25,2)</x:f>
        <x:v>2.8</x:v>
      </x:c>
      <x:c r="I25" s="40" t="n">
        <x:v>4970</x:v>
      </x:c>
      <x:c r="J25" s="40" t="n">
        <x:v>4970</x:v>
      </x:c>
      <x:c r="K25" s="40" t="n">
        <x:f>I25-J25</x:f>
        <x:v>0</x:v>
      </x:c>
      <x:c r="L25" s="4" t="n">
        <x:v>2025</x:v>
      </x:c>
      <x:c r="M25" s="4" t="n">
        <x:v>2025</x:v>
      </x:c>
      <x:c r="N25" s="4" t="n">
        <x:f>IF(M25="","",L25-M25)</x:f>
        <x:v>0</x:v>
      </x:c>
      <x:c r="O25" s="4" t="str">
        <x:f>IF(OR(E25&lt;&gt;0,H25&lt;&gt;0,K25&lt;&gt;0,AND(M25&lt;&gt;"",L25&lt;&gt;M25)),"REVIEW","ALIGNED")</x:f>
        <x:v>REVIEW</x:v>
      </x:c>
      <x:c r="P25" s="4" t="str">
        <x:v>Builder/Lateral 111 x 17.8m; database 110 x 15m. Builder and database agree 4970GT.</x:v>
      </x:c>
      <x:c r="Q25" s="4" t="str">
        <x:v>https://www.oceancoyacht.com/fleet/leviathan/
https://www.vesselfinder.com/vessels/details/9921491</x:v>
      </x:c>
    </x:row>
    <x:row r="26" ht="78" customHeight="1">
      <x:c r="A26" s="20" t="str">
        <x:v>Y726</x:v>
      </x:c>
      <x:c r="B26" s="20" t="str">
        <x:v>DreAMBoat</x:v>
      </x:c>
      <x:c r="C26" s="38" t="n">
        <x:v>111</x:v>
      </x:c>
      <x:c r="D26" s="38" t="n">
        <x:v>110</x:v>
      </x:c>
      <x:c r="E26" s="38" t="n">
        <x:f>ROUND(C26-D26,2)</x:f>
        <x:v>1</x:v>
      </x:c>
      <x:c r="F26" s="38" t="n">
        <x:v>16</x:v>
      </x:c>
      <x:c r="G26" s="38" t="n">
        <x:v>16</x:v>
      </x:c>
      <x:c r="H26" s="38" t="n">
        <x:f>ROUND(F26-G26,2)</x:f>
        <x:v>0</x:v>
      </x:c>
      <x:c r="I26" s="40" t="n">
        <x:v>4550</x:v>
      </x:c>
      <x:c r="J26" s="40" t="n">
        <x:v>4525</x:v>
      </x:c>
      <x:c r="K26" s="40" t="n">
        <x:f>I26-J26</x:f>
        <x:v>25</x:v>
      </x:c>
      <x:c r="L26" s="4" t="n">
        <x:v>2025</x:v>
      </x:c>
      <x:c r="M26" s="4" t="n">
        <x:v>2025</x:v>
      </x:c>
      <x:c r="N26" s="4" t="n">
        <x:f>IF(M26="","",L26-M26)</x:f>
        <x:v>0</x:v>
      </x:c>
      <x:c r="O26" s="4" t="str">
        <x:f>IF(OR(E26&lt;&gt;0,H26&lt;&gt;0,K26&lt;&gt;0,AND(M26&lt;&gt;"",L26&lt;&gt;M26)),"REVIEW","ALIGNED")</x:f>
        <x:v>REVIEW</x:v>
      </x:c>
      <x:c r="P26" s="4" t="str">
        <x:v>Builder/Lateral 4550GT vs database 4525GT; builder LOA 111m vs database 110m. Not SHODAN/Y716.</x:v>
      </x:c>
      <x:c r="Q26" s="4" t="str">
        <x:v>https://www.oceancoyacht.com/fleet/dreamboat/
https://www.vesselfinder.com/vessels/details/9967093</x:v>
      </x:c>
    </x:row>
  </x:sheetData>
  <x:mergeCells>
    <x:mergeCell ref="A1:Q1"/>
    <x:mergeCell ref="A2:Q2"/>
  </x:mergeCells>
  <x:conditionalFormatting sqref="O5:O26">
    <x:cfRule type="expression" dxfId="0" priority="1">
      <x:formula>O5="REVIEW"</x:formula>
    </x:cfRule>
  </x:conditionalFormatting>
  <x:pageMargins left="0.7" right="0.7" top="0.75" bottom="0.75" header="0.3" footer="0.3"/>
  <x:tableParts count="1">
    <x:tablePart xmlns:r="http://schemas.openxmlformats.org/officeDocument/2006/relationships" r:id="R1cf9005db6b94826"/>
  </x:tableParts>
</x:worksheet>
</file>

<file path=xl/worksheets/sheet5.xml><?xml version="1.0" encoding="utf-8"?>
<x:worksheet xmlns:x="http://schemas.openxmlformats.org/spreadsheetml/2006/main">
  <x:sheetFormatPr defaultRowHeight="15"/>
  <x:cols>
    <x:col min="1" max="1" width="13" hidden="0" customWidth="1"/>
    <x:col min="2" max="2" width="26" hidden="0" customWidth="1"/>
    <x:col min="3" max="3" width="14" hidden="0" customWidth="1"/>
    <x:col min="4" max="4" width="15" hidden="0" customWidth="1"/>
    <x:col min="5" max="5" width="29" hidden="0" customWidth="1"/>
    <x:col min="6" max="6" width="34" hidden="0" customWidth="1"/>
    <x:col min="7" max="7" width="19" hidden="0" customWidth="1"/>
    <x:col min="8" max="8" width="40" hidden="0" customWidth="1"/>
    <x:col min="9" max="9" width="40" hidden="0" customWidth="1"/>
  </x:cols>
  <x:sheetData>
    <x:row r="1" ht="38" customHeight="1">
      <x:c r="A1" s="9" t="str">
        <x:v>BUILD SEQUENCE  |  Y701–Y726</x:v>
      </x:c>
      <x:c r="B1" s="9"/>
      <x:c r="C1" s="9"/>
      <x:c r="D1" s="9"/>
      <x:c r="E1" s="9"/>
      <x:c r="F1" s="9"/>
      <x:c r="G1" s="9"/>
      <x:c r="H1" s="9"/>
      <x:c r="I1" s="9"/>
    </x:row>
    <x:row r="2" ht="36" customHeight="1">
      <x:c r="A2" s="12" t="str">
        <x:v>22 mapped vessels; four numerical gaps retained explicitly • sorted by build code, not launch/delivery chronology • code-to-name sources are independent of current AIS identities</x:v>
      </x:c>
      <x:c r="B2" s="12"/>
      <x:c r="C2" s="12"/>
      <x:c r="D2" s="12"/>
      <x:c r="E2" s="12"/>
      <x:c r="F2" s="12"/>
      <x:c r="G2" s="12"/>
      <x:c r="H2" s="12"/>
      <x:c r="I2" s="12"/>
    </x:row>
    <x:row r="3" ht="9" customHeight="1">
      <x:c r="A3" s="4"/>
      <x:c r="B3" s="4"/>
      <x:c r="C3" s="4"/>
      <x:c r="D3" s="4"/>
      <x:c r="E3" s="4"/>
      <x:c r="F3" s="4"/>
      <x:c r="G3" s="4"/>
      <x:c r="H3" s="4"/>
      <x:c r="I3" s="4"/>
    </x:row>
    <x:row r="4" ht="36" customHeight="1">
      <x:c r="A4" s="16" t="str">
        <x:v>Build code</x:v>
      </x:c>
      <x:c r="B4" s="16" t="str">
        <x:v>Mapped vessel</x:v>
      </x:c>
      <x:c r="C4" s="16" t="str">
        <x:v>IMO</x:v>
      </x:c>
      <x:c r="D4" s="16" t="str">
        <x:v>Delivered (year)</x:v>
      </x:c>
      <x:c r="E4" s="16" t="str">
        <x:v>Scope status</x:v>
      </x:c>
      <x:c r="F4" s="16" t="str">
        <x:v>Mapping evidence type</x:v>
      </x:c>
      <x:c r="G4" s="16" t="str">
        <x:v>Mapping source ID</x:v>
      </x:c>
      <x:c r="H4" s="16" t="str">
        <x:v>Mapping source URL</x:v>
      </x:c>
      <x:c r="I4" s="16" t="str">
        <x:v>Qualification</x:v>
      </x:c>
    </x:row>
    <x:row r="5" ht="74" customHeight="1">
      <x:c r="A5" s="20" t="str">
        <x:v>Y701</x:v>
      </x:c>
      <x:c r="B5" s="20" t="str">
        <x:v>Batello</x:v>
      </x:c>
      <x:c r="C5" s="22" t="str">
        <x:v>1009118</x:v>
      </x:c>
      <x:c r="D5" s="4" t="n">
        <x:v>2007</x:v>
      </x:c>
      <x:c r="E5" s="4" t="str">
        <x:v>Included — identified vessel</x:v>
      </x:c>
      <x:c r="F5" s="4" t="str">
        <x:v>Charter broker</x:v>
      </x:c>
      <x:c r="G5" s="4" t="str">
        <x:v>Y701</x:v>
      </x:c>
      <x:c r="H5" s="4" t="str">
        <x:v>https://iyc.com/charter/batello/</x:v>
      </x:c>
      <x:c r="I5" s="4" t="str">
        <x:v>Public project/IMO cross-reference; not a builder's certificate. Published top speed is inconsistent within page: 20kn specifications / 19kn narrative.</x:v>
      </x:c>
    </x:row>
    <x:row r="6" ht="74" customHeight="1">
      <x:c r="A6" s="20" t="str">
        <x:v>Y702</x:v>
      </x:c>
      <x:c r="B6" s="20" t="str">
        <x:v>Alfa Nero</x:v>
      </x:c>
      <x:c r="C6" s="22" t="str">
        <x:v>1009376</x:v>
      </x:c>
      <x:c r="D6" s="4" t="n">
        <x:v>2007</x:v>
      </x:c>
      <x:c r="E6" s="4" t="str">
        <x:v>Included — identified vessel</x:v>
      </x:c>
      <x:c r="F6" s="4" t="str">
        <x:v>Broker listing on marketplace</x:v>
      </x:c>
      <x:c r="G6" s="4" t="str">
        <x:v>Y702</x:v>
      </x:c>
      <x:c r="H6" s="4" t="str">
        <x:v>https://www.yachtfocus.com/it/barca/2007-oceanco-y702-10043681/</x:v>
      </x:c>
      <x:c r="I6" s="4" t="str">
        <x:v>Public project/IMO cross-reference; not a builder's certificate. Broker listing is used for yard-code cross-reference, not current statutory registration.</x:v>
      </x:c>
    </x:row>
    <x:row r="7" ht="74" customHeight="1">
      <x:c r="A7" s="20" t="str">
        <x:v>Y703</x:v>
      </x:c>
      <x:c r="B7" s="20" t="str">
        <x:v>Wheels</x:v>
      </x:c>
      <x:c r="C7" s="22" t="str">
        <x:v>1009388</x:v>
      </x:c>
      <x:c r="D7" s="4" t="n">
        <x:v>2008</x:v>
      </x:c>
      <x:c r="E7" s="4" t="str">
        <x:v>Included — identified vessel</x:v>
      </x:c>
      <x:c r="F7" s="4" t="str">
        <x:v>First-hand construction photograph</x:v>
      </x:c>
      <x:c r="G7" s="4" t="str">
        <x:v>Y703</x:v>
      </x:c>
      <x:c r="H7" s="4" t="str">
        <x:v>https://www.shipspotting.com/photos/324611</x:v>
      </x:c>
      <x:c r="I7" s="4" t="str">
        <x:v>Public project/IMO cross-reference; not a builder's certificate. Historical photo metadata; do not use its flag or radio identifiers as current.</x:v>
      </x:c>
    </x:row>
    <x:row r="8" ht="74" customHeight="1">
      <x:c r="A8" s="20" t="str">
        <x:v>Y704</x:v>
      </x:c>
      <x:c r="B8" s="20" t="str">
        <x:v>Vibrant Curiosity</x:v>
      </x:c>
      <x:c r="C8" s="22" t="str">
        <x:v>1010002</x:v>
      </x:c>
      <x:c r="D8" s="4" t="n">
        <x:v>2009</x:v>
      </x:c>
      <x:c r="E8" s="4" t="str">
        <x:v>Included — identified vessel</x:v>
      </x:c>
      <x:c r="F8" s="4" t="str">
        <x:v>First-hand construction photograph</x:v>
      </x:c>
      <x:c r="G8" s="4" t="str">
        <x:v>Y704</x:v>
      </x:c>
      <x:c r="H8" s="4" t="str">
        <x:v>https://www.shipspotting.com/photos/458681</x:v>
      </x:c>
      <x:c r="I8" s="4" t="str">
        <x:v>Public project/IMO cross-reference; not a builder's certificate. Historical photo metadata; current radio identifiers come from separate database sources.</x:v>
      </x:c>
    </x:row>
    <x:row r="9" ht="74" customHeight="1">
      <x:c r="A9" s="20" t="str">
        <x:v>Y705</x:v>
      </x:c>
      <x:c r="B9" s="20" t="str">
        <x:v>Sunrays</x:v>
      </x:c>
      <x:c r="C9" s="22" t="str">
        <x:v>1010351</x:v>
      </x:c>
      <x:c r="D9" s="4" t="n">
        <x:v>2010</x:v>
      </x:c>
      <x:c r="E9" s="4" t="str">
        <x:v>Included — identified vessel</x:v>
      </x:c>
      <x:c r="F9" s="4" t="str">
        <x:v>First-hand vessel photograph</x:v>
      </x:c>
      <x:c r="G9" s="4" t="str">
        <x:v>Y705</x:v>
      </x:c>
      <x:c r="H9" s="4" t="str">
        <x:v>https://www.shipspotting.com/photos/2927955</x:v>
      </x:c>
      <x:c r="I9" s="4" t="str">
        <x:v>Public project/IMO cross-reference; not a builder's certificate. </x:v>
      </x:c>
    </x:row>
    <x:row r="10" ht="74" customHeight="1">
      <x:c r="A10" s="20" t="str">
        <x:v>Y706</x:v>
      </x:c>
      <x:c r="B10" s="20" t="str">
        <x:v>Man of Steel</x:v>
      </x:c>
      <x:c r="C10" s="22" t="str">
        <x:v>1010777</x:v>
      </x:c>
      <x:c r="D10" s="4" t="n">
        <x:v>2010</x:v>
      </x:c>
      <x:c r="E10" s="4" t="str">
        <x:v>Included — identified vessel</x:v>
      </x:c>
      <x:c r="F10" s="4" t="str">
        <x:v>Supplier press release</x:v>
      </x:c>
      <x:c r="G10" s="4" t="str">
        <x:v>Y706</x:v>
      </x:c>
      <x:c r="H10" s="4" t="str">
        <x:v>https://sandpeoplecommunication.wordpress.com/tag/tender/page/2/</x:v>
      </x:c>
      <x:c r="I10" s="4" t="str">
        <x:v>Public project/IMO cross-reference; not a builder's certificate. Hodgdon tender-supplier release explicitly identifies Oceanco Y706 as M/Y Seven Seas.</x:v>
      </x:c>
    </x:row>
    <x:row r="11" ht="74" customHeight="1">
      <x:c r="A11" s="20" t="str">
        <x:v>Y707</x:v>
      </x:c>
      <x:c r="B11" s="20" t="str">
        <x:v>Nirvana</x:v>
      </x:c>
      <x:c r="C11" s="22" t="str">
        <x:v>1011202</x:v>
      </x:c>
      <x:c r="D11" s="4" t="n">
        <x:v>2012</x:v>
      </x:c>
      <x:c r="E11" s="4" t="str">
        <x:v>Included — identified vessel</x:v>
      </x:c>
      <x:c r="F11" s="4" t="str">
        <x:v>First-hand vessel photograph</x:v>
      </x:c>
      <x:c r="G11" s="4" t="str">
        <x:v>Y707</x:v>
      </x:c>
      <x:c r="H11" s="4" t="str">
        <x:v>https://www.shipspotting.com/photos/1522215</x:v>
      </x:c>
      <x:c r="I11" s="4" t="str">
        <x:v>Public project/IMO cross-reference; not a builder's certificate. </x:v>
      </x:c>
    </x:row>
    <x:row r="12" ht="74" customHeight="1">
      <x:c r="A12" s="20" t="str">
        <x:v>Y708</x:v>
      </x:c>
      <x:c r="B12" s="20" t="str">
        <x:v>Amore Vero</x:v>
      </x:c>
      <x:c r="C12" s="22" t="str">
        <x:v>1011757</x:v>
      </x:c>
      <x:c r="D12" s="4" t="n">
        <x:v>2013</x:v>
      </x:c>
      <x:c r="E12" s="4" t="str">
        <x:v>Included — identified vessel</x:v>
      </x:c>
      <x:c r="F12" s="4" t="str">
        <x:v>Broker vessel profile</x:v>
      </x:c>
      <x:c r="G12" s="4" t="str">
        <x:v>Y708</x:v>
      </x:c>
      <x:c r="H12" s="4" t="str">
        <x:v>https://www.charterworld.com/index.html?charter=motor-yacht-y-6303&amp;sub=yacht-charter</x:v>
      </x:c>
      <x:c r="I12" s="4" t="str">
        <x:v>Public project/IMO cross-reference; not a builder's certificate. Historical broker profile; not a current registration certificate.</x:v>
      </x:c>
    </x:row>
    <x:row r="13" ht="74" customHeight="1">
      <x:c r="A13" s="20" t="str">
        <x:v>Y709</x:v>
      </x:c>
      <x:c r="B13" s="20" t="str">
        <x:v>Draak</x:v>
      </x:c>
      <x:c r="C13" s="22" t="str">
        <x:v>1012086</x:v>
      </x:c>
      <x:c r="D13" s="4" t="n">
        <x:v>2014</x:v>
      </x:c>
      <x:c r="E13" s="4" t="str">
        <x:v>Included — identified vessel</x:v>
      </x:c>
      <x:c r="F13" s="4" t="str">
        <x:v>Refit contractor</x:v>
      </x:c>
      <x:c r="G13" s="4" t="str">
        <x:v>PRO</x:v>
      </x:c>
      <x:c r="H13" s="4" t="str">
        <x:v>https://www.proyacht.nl/custom-yacht-refit-portfolio/</x:v>
      </x:c>
      <x:c r="I13" s="4" t="str">
        <x:v>Public project/IMO cross-reference; not a builder's certificate. Indexed portfolio identifies Y709 and Y719. Historical 91.5m Draak dimension is not the current builder LOA.</x:v>
      </x:c>
    </x:row>
    <x:row r="14" ht="74" customHeight="1">
      <x:c r="A14" s="20" t="str">
        <x:v>Y710</x:v>
      </x:c>
      <x:c r="B14" s="20" t="str">
        <x:v>Samsara</x:v>
      </x:c>
      <x:c r="C14" s="22" t="str">
        <x:v>1012177</x:v>
      </x:c>
      <x:c r="D14" s="4" t="n">
        <x:v>2015</x:v>
      </x:c>
      <x:c r="E14" s="4" t="str">
        <x:v>Included — identified vessel</x:v>
      </x:c>
      <x:c r="F14" s="4" t="str">
        <x:v>Project participant</x:v>
      </x:c>
      <x:c r="G14" s="4" t="str">
        <x:v>TC</x:v>
      </x:c>
      <x:c r="H14" s="4" t="str">
        <x:v>https://tech-consul.nl/projects</x:v>
      </x:c>
      <x:c r="I14" s="4" t="str">
        <x:v>Public project/IMO cross-reference; not a builder's certificate. Indexed project portfolio used for yard-code mapping only; rounded project lengths are not preferred dimensions.</x:v>
      </x:c>
    </x:row>
    <x:row r="15" ht="74" customHeight="1">
      <x:c r="A15" s="20" t="str">
        <x:v>Y711</x:v>
      </x:c>
      <x:c r="B15" s="20" t="str">
        <x:v>AQuiJo</x:v>
      </x:c>
      <x:c r="C15" s="22" t="str">
        <x:v>1012529</x:v>
      </x:c>
      <x:c r="D15" s="4" t="n">
        <x:v>2016</x:v>
      </x:c>
      <x:c r="E15" s="4" t="str">
        <x:v>Included — identified vessel</x:v>
      </x:c>
      <x:c r="F15" s="4" t="str">
        <x:v>Project participant</x:v>
      </x:c>
      <x:c r="G15" s="4" t="str">
        <x:v>TC</x:v>
      </x:c>
      <x:c r="H15" s="4" t="str">
        <x:v>https://tech-consul.nl/projects</x:v>
      </x:c>
      <x:c r="I15" s="4" t="str">
        <x:v>Public project/IMO cross-reference; not a builder's certificate. Indexed project portfolio used for yard-code mapping only; rounded project lengths are not preferred dimensions.</x:v>
      </x:c>
    </x:row>
    <x:row r="16" ht="74" customHeight="1">
      <x:c r="A16" s="20" t="str">
        <x:v>Y712</x:v>
      </x:c>
      <x:c r="B16" s="20" t="str">
        <x:v>Black Pearl</x:v>
      </x:c>
      <x:c r="C16" s="22" t="str">
        <x:v>1012490</x:v>
      </x:c>
      <x:c r="D16" s="4" t="n">
        <x:v>2018</x:v>
      </x:c>
      <x:c r="E16" s="4" t="str">
        <x:v>Included — identified vessel</x:v>
      </x:c>
      <x:c r="F16" s="4" t="str">
        <x:v>AIS database / historical</x:v>
      </x:c>
      <x:c r="G16" s="4" t="str">
        <x:v>Y712</x:v>
      </x:c>
      <x:c r="H16" s="4" t="str">
        <x:v>https://www.myshiptracking.com/vessels/oceanco-y712-mmsi-244020868-imo-1012490</x:v>
      </x:c>
      <x:c r="I16" s="4" t="str">
        <x:v>Public project/IMO cross-reference; not a builder's certificate. Historical construction identity only. Old MMSI is not used in the current register.</x:v>
      </x:c>
    </x:row>
    <x:row r="17" ht="74" customHeight="1">
      <x:c r="A17" s="20" t="str">
        <x:v>Y713</x:v>
      </x:c>
      <x:c r="B17" s="20" t="str">
        <x:v>Unmapped</x:v>
      </x:c>
      <x:c r="C17" s="22"/>
      <x:c r="D17" s="4"/>
      <x:c r="E17" s="4" t="str">
        <x:v>Unresolved numerical slot</x:v>
      </x:c>
      <x:c r="F17" s="4" t="str">
        <x:v>No verified mapping captured</x:v>
      </x:c>
      <x:c r="G17" s="4" t="str"/>
      <x:c r="H17" s="4" t="str"/>
      <x:c r="I17" s="4" t="str">
        <x:v>No vessel assigned in this workbook. Do not infer an unbuilt, cancelled or confidential project from the numbering gap.</x:v>
      </x:c>
    </x:row>
    <x:row r="18" ht="74" customHeight="1">
      <x:c r="A18" s="20" t="str">
        <x:v>Y714</x:v>
      </x:c>
      <x:c r="B18" s="20" t="str">
        <x:v>KAOS</x:v>
      </x:c>
      <x:c r="C18" s="22" t="str">
        <x:v>1012610</x:v>
      </x:c>
      <x:c r="D18" s="4" t="n">
        <x:v>2017</x:v>
      </x:c>
      <x:c r="E18" s="4" t="str">
        <x:v>Included — identified vessel</x:v>
      </x:c>
      <x:c r="F18" s="4" t="str">
        <x:v>Project participant</x:v>
      </x:c>
      <x:c r="G18" s="4" t="str">
        <x:v>TC</x:v>
      </x:c>
      <x:c r="H18" s="4" t="str">
        <x:v>https://tech-consul.nl/projects</x:v>
      </x:c>
      <x:c r="I18" s="4" t="str">
        <x:v>Public project/IMO cross-reference; not a builder's certificate. Indexed project portfolio used for yard-code mapping only; rounded project lengths are not preferred dimensions.</x:v>
      </x:c>
    </x:row>
    <x:row r="19" ht="74" customHeight="1">
      <x:c r="A19" s="20" t="str">
        <x:v>Y715</x:v>
      </x:c>
      <x:c r="B19" s="20" t="str">
        <x:v>Barbara</x:v>
      </x:c>
      <x:c r="C19" s="22" t="str">
        <x:v>1012725</x:v>
      </x:c>
      <x:c r="D19" s="4" t="n">
        <x:v>2017</x:v>
      </x:c>
      <x:c r="E19" s="4" t="str">
        <x:v>Included — identified vessel</x:v>
      </x:c>
      <x:c r="F19" s="4" t="str">
        <x:v>Designer</x:v>
      </x:c>
      <x:c r="G19" s="4" t="str">
        <x:v>Y715</x:v>
      </x:c>
      <x:c r="H19" s="4" t="str">
        <x:v>https://www.sorgiovanniinteriors.com.au/barbara/</x:v>
      </x:c>
      <x:c r="I19" s="4" t="str">
        <x:v>Public project/IMO cross-reference; not a builder's certificate. As-built 2017 information; designer beam 14.2m differs from current Oceanco page 14.5m.</x:v>
      </x:c>
    </x:row>
    <x:row r="20" ht="74" customHeight="1">
      <x:c r="A20" s="20" t="str">
        <x:v>Y716</x:v>
      </x:c>
      <x:c r="B20" s="20" t="str">
        <x:v>SHODAN</x:v>
      </x:c>
      <x:c r="C20" s="22" t="str">
        <x:v>1012919</x:v>
      </x:c>
      <x:c r="D20" s="4" t="n">
        <x:v>2019</x:v>
      </x:c>
      <x:c r="E20" s="4" t="str">
        <x:v>Included — identified vessel</x:v>
      </x:c>
      <x:c r="F20" s="4" t="str">
        <x:v>First-hand vessel photograph</x:v>
      </x:c>
      <x:c r="G20" s="4" t="str">
        <x:v>Y716</x:v>
      </x:c>
      <x:c r="H20" s="4" t="str">
        <x:v>https://www.shipspotting.com/photos/3245295</x:v>
      </x:c>
      <x:c r="I20" s="4" t="str">
        <x:v>Public project/IMO cross-reference; not a builder's certificate. Original name DreAMBoat; not the 111m Y726.</x:v>
      </x:c>
    </x:row>
    <x:row r="21" ht="74" customHeight="1">
      <x:c r="A21" s="20" t="str">
        <x:v>Y717</x:v>
      </x:c>
      <x:c r="B21" s="20" t="str">
        <x:v>LUNA</x:v>
      </x:c>
      <x:c r="C21" s="22" t="str">
        <x:v>1013066</x:v>
      </x:c>
      <x:c r="D21" s="4" t="n">
        <x:v>2018</x:v>
      </x:c>
      <x:c r="E21" s="4" t="str">
        <x:v>Included — identified vessel</x:v>
      </x:c>
      <x:c r="F21" s="4" t="str">
        <x:v>Project participant</x:v>
      </x:c>
      <x:c r="G21" s="4" t="str">
        <x:v>TC</x:v>
      </x:c>
      <x:c r="H21" s="4" t="str">
        <x:v>https://tech-consul.nl/projects</x:v>
      </x:c>
      <x:c r="I21" s="4" t="str">
        <x:v>Public project/IMO cross-reference; not a builder's certificate. Indexed project portfolio used for yard-code mapping only; rounded project lengths are not preferred dimensions.</x:v>
      </x:c>
    </x:row>
    <x:row r="22" ht="74" customHeight="1">
      <x:c r="A22" s="20" t="str">
        <x:v>Y718</x:v>
      </x:c>
      <x:c r="B22" s="20" t="str">
        <x:v>Bravo Eugenia</x:v>
      </x:c>
      <x:c r="C22" s="22" t="str">
        <x:v>1012921</x:v>
      </x:c>
      <x:c r="D22" s="4" t="n">
        <x:v>2018</x:v>
      </x:c>
      <x:c r="E22" s="4" t="str">
        <x:v>Included — identified vessel</x:v>
      </x:c>
      <x:c r="F22" s="4" t="str">
        <x:v>First-hand construction video</x:v>
      </x:c>
      <x:c r="G22" s="4" t="str">
        <x:v>Y718</x:v>
      </x:c>
      <x:c r="H22" s="4" t="str">
        <x:v>https://www.youtube.com/watch?v=DD-N64-xotE</x:v>
      </x:c>
      <x:c r="I22" s="4" t="str">
        <x:v>Public project/IMO cross-reference; not a builder's certificate. </x:v>
      </x:c>
    </x:row>
    <x:row r="23" ht="74" customHeight="1">
      <x:c r="A23" s="20" t="str">
        <x:v>Y719</x:v>
      </x:c>
      <x:c r="B23" s="20" t="str">
        <x:v>Infinity</x:v>
      </x:c>
      <x:c r="C23" s="22" t="str">
        <x:v>9817896</x:v>
      </x:c>
      <x:c r="D23" s="4" t="n">
        <x:v>2022</x:v>
      </x:c>
      <x:c r="E23" s="4" t="str">
        <x:v>Included — identified vessel</x:v>
      </x:c>
      <x:c r="F23" s="4" t="str">
        <x:v>Refit contractor</x:v>
      </x:c>
      <x:c r="G23" s="4" t="str">
        <x:v>PRO</x:v>
      </x:c>
      <x:c r="H23" s="4" t="str">
        <x:v>https://www.proyacht.nl/custom-yacht-refit-portfolio/</x:v>
      </x:c>
      <x:c r="I23" s="4" t="str">
        <x:v>Public project/IMO cross-reference; not a builder's certificate. Indexed portfolio identifies Y709 and Y719. Historical 91.5m Draak dimension is not the current builder LOA.</x:v>
      </x:c>
    </x:row>
    <x:row r="24" ht="74" customHeight="1">
      <x:c r="A24" s="20" t="str">
        <x:v>Y720</x:v>
      </x:c>
      <x:c r="B24" s="20" t="str">
        <x:v>Seven Seas</x:v>
      </x:c>
      <x:c r="C24" s="22" t="str">
        <x:v>9840178</x:v>
      </x:c>
      <x:c r="D24" s="4" t="n">
        <x:v>2023</x:v>
      </x:c>
      <x:c r="E24" s="4" t="str">
        <x:v>Included — identified vessel</x:v>
      </x:c>
      <x:c r="F24" s="4" t="str">
        <x:v>First-hand vessel photograph / post</x:v>
      </x:c>
      <x:c r="G24" s="4" t="str">
        <x:v>Y720</x:v>
      </x:c>
      <x:c r="H24" s="4" t="str">
        <x:v>https://www.facebook.com/dutchyachting/posts/the-109m-3576-seven-seas-y720-launched-on-11-march-2022-returned-to-oceancos-dry/553672826787162/</x:v>
      </x:c>
      <x:c r="I24" s="4" t="str">
        <x:v>Public project/IMO cross-reference; not a builder's certificate. Historical launch record; project delivery year is sourced separately from Oceanco.</x:v>
      </x:c>
    </x:row>
    <x:row r="25" ht="74" customHeight="1">
      <x:c r="A25" s="20" t="str">
        <x:v>Y721</x:v>
      </x:c>
      <x:c r="B25" s="20" t="str">
        <x:v>Koru</x:v>
      </x:c>
      <x:c r="C25" s="22" t="str">
        <x:v>9857298</x:v>
      </x:c>
      <x:c r="D25" s="4" t="n">
        <x:v>2023</x:v>
      </x:c>
      <x:c r="E25" s="4" t="str">
        <x:v>Included — identified vessel</x:v>
      </x:c>
      <x:c r="F25" s="4" t="str">
        <x:v>Project participant</x:v>
      </x:c>
      <x:c r="G25" s="4" t="str">
        <x:v>TC</x:v>
      </x:c>
      <x:c r="H25" s="4" t="str">
        <x:v>https://tech-consul.nl/projects</x:v>
      </x:c>
      <x:c r="I25" s="4" t="str">
        <x:v>Public project/IMO cross-reference; not a builder's certificate. Indexed project portfolio used for yard-code mapping only; rounded project lengths are not preferred dimensions.</x:v>
      </x:c>
    </x:row>
    <x:row r="26" ht="74" customHeight="1">
      <x:c r="A26" s="20" t="str">
        <x:v>Y722</x:v>
      </x:c>
      <x:c r="B26" s="20" t="str">
        <x:v>Leviathan</x:v>
      </x:c>
      <x:c r="C26" s="22" t="str">
        <x:v>9921491</x:v>
      </x:c>
      <x:c r="D26" s="4" t="n">
        <x:v>2025</x:v>
      </x:c>
      <x:c r="E26" s="4" t="str">
        <x:v>Included — identified vessel</x:v>
      </x:c>
      <x:c r="F26" s="4" t="str">
        <x:v>Naval architect</x:v>
      </x:c>
      <x:c r="G26" s="4" t="str">
        <x:v>LAT722</x:v>
      </x:c>
      <x:c r="H26" s="4" t="str">
        <x:v>https://www.lateral.engineering/projects/leviathan/</x:v>
      </x:c>
      <x:c r="I26" s="4" t="str">
        <x:v>Public project/IMO cross-reference; not a builder's certificate. </x:v>
      </x:c>
    </x:row>
    <x:row r="27" ht="74" customHeight="1">
      <x:c r="A27" s="20" t="str">
        <x:v>Y723</x:v>
      </x:c>
      <x:c r="B27" s="20" t="str">
        <x:v>Unmapped</x:v>
      </x:c>
      <x:c r="C27" s="22"/>
      <x:c r="D27" s="4"/>
      <x:c r="E27" s="4" t="str">
        <x:v>Unresolved numerical slot</x:v>
      </x:c>
      <x:c r="F27" s="4" t="str">
        <x:v>No verified mapping captured</x:v>
      </x:c>
      <x:c r="G27" s="4" t="str"/>
      <x:c r="H27" s="4" t="str"/>
      <x:c r="I27" s="4" t="str">
        <x:v>No vessel assigned in this workbook. Do not infer an unbuilt, cancelled or confidential project from the numbering gap.</x:v>
      </x:c>
    </x:row>
    <x:row r="28" ht="74" customHeight="1">
      <x:c r="A28" s="20" t="str">
        <x:v>Y724</x:v>
      </x:c>
      <x:c r="B28" s="20" t="str">
        <x:v>Unmapped</x:v>
      </x:c>
      <x:c r="C28" s="22"/>
      <x:c r="D28" s="4"/>
      <x:c r="E28" s="4" t="str">
        <x:v>Unresolved numerical slot</x:v>
      </x:c>
      <x:c r="F28" s="4" t="str">
        <x:v>No verified mapping captured</x:v>
      </x:c>
      <x:c r="G28" s="4" t="str"/>
      <x:c r="H28" s="4" t="str"/>
      <x:c r="I28" s="4" t="str">
        <x:v>No vessel assigned in this workbook. Do not infer an unbuilt, cancelled or confidential project from the numbering gap.</x:v>
      </x:c>
    </x:row>
    <x:row r="29" ht="74" customHeight="1">
      <x:c r="A29" s="20" t="str">
        <x:v>Y725</x:v>
      </x:c>
      <x:c r="B29" s="20" t="str">
        <x:v>Unmapped</x:v>
      </x:c>
      <x:c r="C29" s="22"/>
      <x:c r="D29" s="4"/>
      <x:c r="E29" s="4" t="str">
        <x:v>Unresolved numerical slot</x:v>
      </x:c>
      <x:c r="F29" s="4" t="str">
        <x:v>No verified mapping captured</x:v>
      </x:c>
      <x:c r="G29" s="4" t="str"/>
      <x:c r="H29" s="4" t="str"/>
      <x:c r="I29" s="4" t="str">
        <x:v>No vessel assigned in this workbook. Do not infer an unbuilt, cancelled or confidential project from the numbering gap.</x:v>
      </x:c>
    </x:row>
    <x:row r="30" ht="74" customHeight="1">
      <x:c r="A30" s="20" t="str">
        <x:v>Y726</x:v>
      </x:c>
      <x:c r="B30" s="20" t="str">
        <x:v>DreAMBoat</x:v>
      </x:c>
      <x:c r="C30" s="22" t="str">
        <x:v>9967093</x:v>
      </x:c>
      <x:c r="D30" s="4" t="n">
        <x:v>2025</x:v>
      </x:c>
      <x:c r="E30" s="4" t="str">
        <x:v>Included — identified vessel</x:v>
      </x:c>
      <x:c r="F30" s="4" t="str">
        <x:v>Naval architect</x:v>
      </x:c>
      <x:c r="G30" s="4" t="str">
        <x:v>LAT726</x:v>
      </x:c>
      <x:c r="H30" s="4" t="str">
        <x:v>https://www.lateral.engineering/projects/y726-364ft/</x:v>
      </x:c>
      <x:c r="I30" s="4" t="str">
        <x:v>Public project/IMO cross-reference; not a builder's certificate. Project page originally written before delivery; delivered name/year come from Oceanco.</x:v>
      </x:c>
    </x:row>
  </x:sheetData>
  <x:mergeCells>
    <x:mergeCell ref="A1:I1"/>
    <x:mergeCell ref="A2:I2"/>
  </x:mergeCells>
  <x:conditionalFormatting sqref="E5:E30">
    <x:cfRule type="expression" dxfId="1" priority="1">
      <x:formula>E5="Unresolved numerical slot"</x:formula>
    </x:cfRule>
  </x:conditionalFormatting>
  <x:pageMargins left="0.7" right="0.7" top="0.75" bottom="0.75" header="0.3" footer="0.3"/>
  <x:tableParts count="1">
    <x:tablePart xmlns:r="http://schemas.openxmlformats.org/officeDocument/2006/relationships" r:id="R5d7dea1e852447e1"/>
  </x:tableParts>
</x:worksheet>
</file>

<file path=xl/worksheets/sheet6.xml><?xml version="1.0" encoding="utf-8"?>
<x:worksheet xmlns:x="http://schemas.openxmlformats.org/spreadsheetml/2006/main">
  <x:sheetFormatPr defaultRowHeight="15"/>
  <x:cols>
    <x:col min="1" max="1" width="11" hidden="0" customWidth="1"/>
    <x:col min="2" max="2" width="24" hidden="0" customWidth="1"/>
    <x:col min="3" max="3" width="13" hidden="0" customWidth="1"/>
    <x:col min="4" max="4" width="31" hidden="0" customWidth="1"/>
    <x:col min="5" max="5" width="38" hidden="0" customWidth="1"/>
    <x:col min="6" max="6" width="12" hidden="0" customWidth="1"/>
    <x:col min="7" max="7" width="36" hidden="0" customWidth="1"/>
    <x:col min="8" max="8" width="40" hidden="0" customWidth="1"/>
    <x:col min="9" max="9" width="16" hidden="0" customWidth="1"/>
    <x:col min="10" max="10" width="40" hidden="0" customWidth="1"/>
    <x:col min="11" max="11" width="15" hidden="0" customWidth="1"/>
  </x:cols>
  <x:sheetData>
    <x:row r="1" ht="38" customHeight="1">
      <x:c r="A1" s="9" t="str">
        <x:v>FIELD EVIDENCE  |  TRACEABLE OBSERVATIONS</x:v>
      </x:c>
      <x:c r="B1" s="9"/>
      <x:c r="C1" s="9"/>
      <x:c r="D1" s="9"/>
      <x:c r="E1" s="9"/>
      <x:c r="F1" s="9"/>
      <x:c r="G1" s="9"/>
      <x:c r="H1" s="9"/>
      <x:c r="I1" s="9"/>
      <x:c r="J1" s="9"/>
      <x:c r="K1" s="9"/>
    </x:row>
    <x:row r="2" ht="36" customHeight="1">
      <x:c r="A2" s="12" t="str">
        <x:v>One sourced observation per row • alternate values are retained rather than overwritten • filter by IMO and field to reconcile a vessel</x:v>
      </x:c>
      <x:c r="B2" s="12"/>
      <x:c r="C2" s="12"/>
      <x:c r="D2" s="12"/>
      <x:c r="E2" s="12"/>
      <x:c r="F2" s="12"/>
      <x:c r="G2" s="12"/>
      <x:c r="H2" s="12"/>
      <x:c r="I2" s="12"/>
      <x:c r="J2" s="12"/>
      <x:c r="K2" s="12"/>
    </x:row>
    <x:row r="3" ht="9" customHeight="1">
      <x:c r="A3" s="4"/>
      <x:c r="B3" s="4"/>
      <x:c r="C3" s="4"/>
      <x:c r="D3" s="4"/>
      <x:c r="E3" s="4"/>
      <x:c r="F3" s="4"/>
      <x:c r="G3" s="4"/>
      <x:c r="H3" s="4"/>
      <x:c r="I3" s="4"/>
      <x:c r="J3" s="4"/>
      <x:c r="K3" s="4"/>
    </x:row>
    <x:row r="4" ht="36" customHeight="1">
      <x:c r="A4" s="16" t="str">
        <x:v>Yard ID</x:v>
      </x:c>
      <x:c r="B4" s="16" t="str">
        <x:v>Vessel</x:v>
      </x:c>
      <x:c r="C4" s="16" t="str">
        <x:v>IMO</x:v>
      </x:c>
      <x:c r="D4" s="16" t="str">
        <x:v>Field</x:v>
      </x:c>
      <x:c r="E4" s="16" t="str">
        <x:v>Observed value</x:v>
      </x:c>
      <x:c r="F4" s="16" t="str">
        <x:v>Unit</x:v>
      </x:c>
      <x:c r="G4" s="16" t="str">
        <x:v>Observation basis</x:v>
      </x:c>
      <x:c r="H4" s="16" t="str">
        <x:v>Qualification</x:v>
      </x:c>
      <x:c r="I4" s="16" t="str">
        <x:v>Source ID</x:v>
      </x:c>
      <x:c r="J4" s="16" t="str">
        <x:v>Source URL</x:v>
      </x:c>
      <x:c r="K4" s="16" t="str">
        <x:v>Checked on</x:v>
      </x:c>
    </x:row>
    <x:row r="5" ht="69" customHeight="1">
      <x:c r="A5" s="20" t="str">
        <x:v>Y701</x:v>
      </x:c>
      <x:c r="B5" s="20" t="str">
        <x:v>Batello</x:v>
      </x:c>
      <x:c r="C5" s="22" t="str">
        <x:v>1009118</x:v>
      </x:c>
      <x:c r="D5" s="4" t="str">
        <x:v>Yard code</x:v>
      </x:c>
      <x:c r="E5" s="4" t="str">
        <x:v>Y701</x:v>
      </x:c>
      <x:c r="F5" s="4" t="str"/>
      <x:c r="G5" s="4" t="str">
        <x:v>Public build-to-vessel cross-reference</x:v>
      </x:c>
      <x:c r="H5" s="4" t="str">
        <x:v>No builder certificate inspected.</x:v>
      </x:c>
      <x:c r="I5" s="4" t="str">
        <x:v>Y701</x:v>
      </x:c>
      <x:c r="J5" s="4" t="str">
        <x:v>https://iyc.com/charter/batello/</x:v>
      </x:c>
      <x:c r="K5" s="28" t="n">
        <x:v>46290</x:v>
      </x:c>
    </x:row>
    <x:row r="6" ht="69" customHeight="1">
      <x:c r="A6" s="20" t="str">
        <x:v>Y701</x:v>
      </x:c>
      <x:c r="B6" s="20" t="str">
        <x:v>Batello</x:v>
      </x:c>
      <x:c r="C6" s="22" t="str">
        <x:v>1009118</x:v>
      </x:c>
      <x:c r="D6" s="4" t="str">
        <x:v>Current published name</x:v>
      </x:c>
      <x:c r="E6" s="4" t="str">
        <x:v>Batello</x:v>
      </x:c>
      <x:c r="F6" s="4" t="str"/>
      <x:c r="G6" s="4" t="str">
        <x:v>Builder fleet publication</x:v>
      </x:c>
      <x:c r="H6" s="4" t="str">
        <x:v>Name may change after retrieval.</x:v>
      </x:c>
      <x:c r="I6" s="4" t="str">
        <x:v>B701</x:v>
      </x:c>
      <x:c r="J6" s="4" t="str">
        <x:v>https://www.oceancoyacht.com/fleet/batello/</x:v>
      </x:c>
      <x:c r="K6" s="28" t="n">
        <x:v>46290</x:v>
      </x:c>
    </x:row>
    <x:row r="7" ht="69" customHeight="1">
      <x:c r="A7" s="20" t="str">
        <x:v>Y701</x:v>
      </x:c>
      <x:c r="B7" s="20" t="str">
        <x:v>Batello</x:v>
      </x:c>
      <x:c r="C7" s="22" t="str">
        <x:v>1009118</x:v>
      </x:c>
      <x:c r="D7" s="4" t="str">
        <x:v>Former names / aliases</x:v>
      </x:c>
      <x:c r="E7" s="4" t="str">
        <x:v>Amevi; Aalto</x:v>
      </x:c>
      <x:c r="F7" s="4" t="str"/>
      <x:c r="G7" s="4" t="str">
        <x:v>Published name history / alias</x:v>
      </x:c>
      <x:c r="H7" s="4" t="str">
        <x:v>Not a certified complete sequence; dates not inferred.</x:v>
      </x:c>
      <x:c r="I7" s="4" t="str">
        <x:v>V701</x:v>
      </x:c>
      <x:c r="J7" s="4" t="str">
        <x:v>https://www.vesselfinder.com/vessels/details/1009118</x:v>
      </x:c>
      <x:c r="K7" s="28" t="n">
        <x:v>46290</x:v>
      </x:c>
    </x:row>
    <x:row r="8" ht="69" customHeight="1">
      <x:c r="A8" s="20" t="str">
        <x:v>Y701</x:v>
      </x:c>
      <x:c r="B8" s="20" t="str">
        <x:v>Batello</x:v>
      </x:c>
      <x:c r="C8" s="22" t="str">
        <x:v>1009118</x:v>
      </x:c>
      <x:c r="D8" s="4" t="str">
        <x:v>Delivered</x:v>
      </x:c>
      <x:c r="E8" s="4" t="n">
        <x:v>2007</x:v>
      </x:c>
      <x:c r="F8" s="4" t="str">
        <x:v>year</x:v>
      </x:c>
      <x:c r="G8" s="4" t="str">
        <x:v>Builder delivery year</x:v>
      </x:c>
      <x:c r="H8" s="4" t="str">
        <x:v>Do not equate with keel-laying or launch year.</x:v>
      </x:c>
      <x:c r="I8" s="4" t="str">
        <x:v>B701</x:v>
      </x:c>
      <x:c r="J8" s="4" t="str">
        <x:v>https://www.oceancoyacht.com/fleet/batello/</x:v>
      </x:c>
      <x:c r="K8" s="28" t="n">
        <x:v>46290</x:v>
      </x:c>
    </x:row>
    <x:row r="9" ht="69" customHeight="1">
      <x:c r="A9" s="20" t="str">
        <x:v>Y701</x:v>
      </x:c>
      <x:c r="B9" s="20" t="str">
        <x:v>Batello</x:v>
      </x:c>
      <x:c r="C9" s="22" t="str">
        <x:v>1009118</x:v>
      </x:c>
      <x:c r="D9" s="4" t="str">
        <x:v>IMO</x:v>
      </x:c>
      <x:c r="E9" s="4" t="str">
        <x:v>1009118</x:v>
      </x:c>
      <x:c r="F9" s="4" t="str"/>
      <x:c r="G9" s="4" t="str">
        <x:v>Database static vessel particulars</x:v>
      </x:c>
      <x:c r="H9" s="4" t="str">
        <x:v>Checksum passed; checksum does not independently confirm identity.</x:v>
      </x:c>
      <x:c r="I9" s="4" t="str">
        <x:v>V701</x:v>
      </x:c>
      <x:c r="J9" s="4" t="str">
        <x:v>https://www.vesselfinder.com/vessels/details/1009118</x:v>
      </x:c>
      <x:c r="K9" s="28" t="n">
        <x:v>46290</x:v>
      </x:c>
    </x:row>
    <x:row r="10" ht="69" customHeight="1">
      <x:c r="A10" s="20" t="str">
        <x:v>Y701</x:v>
      </x:c>
      <x:c r="B10" s="20" t="str">
        <x:v>Batello</x:v>
      </x:c>
      <x:c r="C10" s="22" t="str">
        <x:v>1009118</x:v>
      </x:c>
      <x:c r="D10" s="4" t="str">
        <x:v>MMSI</x:v>
      </x:c>
      <x:c r="E10" s="4" t="str">
        <x:v>538070869</x:v>
      </x:c>
      <x:c r="F10" s="4" t="str"/>
      <x:c r="G10" s="4" t="str">
        <x:v>Published radio identity</x:v>
      </x:c>
      <x:c r="H10" s="4" t="str">
        <x:v>Published database identity; current registry/radio licence not inspected.</x:v>
      </x:c>
      <x:c r="I10" s="4" t="str">
        <x:v>V701</x:v>
      </x:c>
      <x:c r="J10" s="4" t="str">
        <x:v>https://www.vesselfinder.com/vessels/details/1009118</x:v>
      </x:c>
      <x:c r="K10" s="28" t="n">
        <x:v>46290</x:v>
      </x:c>
    </x:row>
    <x:row r="11" ht="69" customHeight="1">
      <x:c r="A11" s="20" t="str">
        <x:v>Y701</x:v>
      </x:c>
      <x:c r="B11" s="20" t="str">
        <x:v>Batello</x:v>
      </x:c>
      <x:c r="C11" s="22" t="str">
        <x:v>1009118</x:v>
      </x:c>
      <x:c r="D11" s="4" t="str">
        <x:v>Call sign</x:v>
      </x:c>
      <x:c r="E11" s="4" t="str">
        <x:v>V7YZ2</x:v>
      </x:c>
      <x:c r="F11" s="4" t="str"/>
      <x:c r="G11" s="4" t="str">
        <x:v>Published radio identity</x:v>
      </x:c>
      <x:c r="H11" s="4" t="str">
        <x:v>Published database identity; current registry/radio licence not inspected.</x:v>
      </x:c>
      <x:c r="I11" s="4" t="str">
        <x:v>V701</x:v>
      </x:c>
      <x:c r="J11" s="4" t="str">
        <x:v>https://www.vesselfinder.com/vessels/details/1009118</x:v>
      </x:c>
      <x:c r="K11" s="28" t="n">
        <x:v>46290</x:v>
      </x:c>
    </x:row>
    <x:row r="12" ht="69" customHeight="1">
      <x:c r="A12" s="20" t="str">
        <x:v>Y701</x:v>
      </x:c>
      <x:c r="B12" s="20" t="str">
        <x:v>Batello</x:v>
      </x:c>
      <x:c r="C12" s="22" t="str">
        <x:v>1009118</x:v>
      </x:c>
      <x:c r="D12" s="4" t="str">
        <x:v>Flag</x:v>
      </x:c>
      <x:c r="E12" s="4" t="str">
        <x:v>Marshall Islands</x:v>
      </x:c>
      <x:c r="F12" s="4" t="str"/>
      <x:c r="G12" s="4" t="str">
        <x:v>Published flag / AIS identity</x:v>
      </x:c>
      <x:c r="H12" s="4" t="str">
        <x:v>Published database identity; current registry/radio licence not inspected.</x:v>
      </x:c>
      <x:c r="I12" s="4" t="str">
        <x:v>V701</x:v>
      </x:c>
      <x:c r="J12" s="4" t="str">
        <x:v>https://www.vesselfinder.com/vessels/details/1009118</x:v>
      </x:c>
      <x:c r="K12" s="28" t="n">
        <x:v>46290</x:v>
      </x:c>
    </x:row>
    <x:row r="13" ht="69" customHeight="1">
      <x:c r="A13" s="20" t="str">
        <x:v>Y701</x:v>
      </x:c>
      <x:c r="B13" s="20" t="str">
        <x:v>Batello</x:v>
      </x:c>
      <x:c r="C13" s="22" t="str">
        <x:v>1009118</x:v>
      </x:c>
      <x:c r="D13" s="4" t="str">
        <x:v>Preferred published LOA</x:v>
      </x:c>
      <x:c r="E13" s="4" t="n">
        <x:v>80</x:v>
      </x:c>
      <x:c r="F13" s="4" t="str">
        <x:v>m</x:v>
      </x:c>
      <x:c r="G13" s="4" t="str">
        <x:v>Builder published overall length</x:v>
      </x:c>
      <x:c r="H13" s="4" t="str">
        <x:v>Not independently measured or certificate-verified.</x:v>
      </x:c>
      <x:c r="I13" s="4" t="str">
        <x:v>B701</x:v>
      </x:c>
      <x:c r="J13" s="4" t="str">
        <x:v>https://www.oceancoyacht.com/fleet/batello/</x:v>
      </x:c>
      <x:c r="K13" s="28" t="n">
        <x:v>46290</x:v>
      </x:c>
    </x:row>
    <x:row r="14" ht="69" customHeight="1">
      <x:c r="A14" s="20" t="str">
        <x:v>Y701</x:v>
      </x:c>
      <x:c r="B14" s="20" t="str">
        <x:v>Batello</x:v>
      </x:c>
      <x:c r="C14" s="22" t="str">
        <x:v>1009118</x:v>
      </x:c>
      <x:c r="D14" s="4" t="str">
        <x:v>Preferred published beam</x:v>
      </x:c>
      <x:c r="E14" s="4" t="n">
        <x:v>14.2</x:v>
      </x:c>
      <x:c r="F14" s="4" t="str">
        <x:v>m</x:v>
      </x:c>
      <x:c r="G14" s="4" t="str">
        <x:v>Builder published overall beam</x:v>
      </x:c>
      <x:c r="H14" s="4" t="str">
        <x:v>Not moulded breadth unless source explicitly says so.</x:v>
      </x:c>
      <x:c r="I14" s="4" t="str">
        <x:v>B701</x:v>
      </x:c>
      <x:c r="J14" s="4" t="str">
        <x:v>https://www.oceancoyacht.com/fleet/batello/</x:v>
      </x:c>
      <x:c r="K14" s="28" t="n">
        <x:v>46290</x:v>
      </x:c>
    </x:row>
    <x:row r="15" ht="69" customHeight="1">
      <x:c r="A15" s="20" t="str">
        <x:v>Y701</x:v>
      </x:c>
      <x:c r="B15" s="20" t="str">
        <x:v>Batello</x:v>
      </x:c>
      <x:c r="C15" s="22" t="str">
        <x:v>1009118</x:v>
      </x:c>
      <x:c r="D15" s="4" t="str">
        <x:v>Working gross tonnage</x:v>
      </x:c>
      <x:c r="E15" s="4" t="n">
        <x:v>2310</x:v>
      </x:c>
      <x:c r="F15" s="4" t="str">
        <x:v>GT</x:v>
      </x:c>
      <x:c r="G15" s="4" t="str">
        <x:v>Database static GT</x:v>
      </x:c>
      <x:c r="H15" s="4" t="str">
        <x:v>GT is not mass/displacement.</x:v>
      </x:c>
      <x:c r="I15" s="4" t="str">
        <x:v>V701</x:v>
      </x:c>
      <x:c r="J15" s="4" t="str">
        <x:v>https://www.vesselfinder.com/vessels/details/1009118</x:v>
      </x:c>
      <x:c r="K15" s="28" t="n">
        <x:v>46290</x:v>
      </x:c>
    </x:row>
    <x:row r="16" ht="69" customHeight="1">
      <x:c r="A16" s="20" t="str">
        <x:v>Y701</x:v>
      </x:c>
      <x:c r="B16" s="20" t="str">
        <x:v>Batello</x:v>
      </x:c>
      <x:c r="C16" s="22" t="str">
        <x:v>1009118</x:v>
      </x:c>
      <x:c r="D16" s="4" t="str">
        <x:v>Database static LOA</x:v>
      </x:c>
      <x:c r="E16" s="4" t="n">
        <x:v>80</x:v>
      </x:c>
      <x:c r="F16" s="4" t="str">
        <x:v>m</x:v>
      </x:c>
      <x:c r="G16" s="4" t="str">
        <x:v>Database static specification, not AIS dimensions</x:v>
      </x:c>
      <x:c r="H16" s="4" t="str">
        <x:v>Builder beam 14.2m vs database 12.0m. Broker top-speed values conflict (19/20kn).</x:v>
      </x:c>
      <x:c r="I16" s="4" t="str">
        <x:v>V701</x:v>
      </x:c>
      <x:c r="J16" s="4" t="str">
        <x:v>https://www.vesselfinder.com/vessels/details/1009118</x:v>
      </x:c>
      <x:c r="K16" s="28" t="n">
        <x:v>46290</x:v>
      </x:c>
    </x:row>
    <x:row r="17" ht="69" customHeight="1">
      <x:c r="A17" s="20" t="str">
        <x:v>Y701</x:v>
      </x:c>
      <x:c r="B17" s="20" t="str">
        <x:v>Batello</x:v>
      </x:c>
      <x:c r="C17" s="22" t="str">
        <x:v>1009118</x:v>
      </x:c>
      <x:c r="D17" s="4" t="str">
        <x:v>Database static beam</x:v>
      </x:c>
      <x:c r="E17" s="4" t="n">
        <x:v>12</x:v>
      </x:c>
      <x:c r="F17" s="4" t="str">
        <x:v>m</x:v>
      </x:c>
      <x:c r="G17" s="4" t="str">
        <x:v>Database static specification, not AIS dimensions</x:v>
      </x:c>
      <x:c r="H17" s="4" t="str">
        <x:v>Builder beam 14.2m vs database 12.0m. Broker top-speed values conflict (19/20kn).</x:v>
      </x:c>
      <x:c r="I17" s="4" t="str">
        <x:v>V701</x:v>
      </x:c>
      <x:c r="J17" s="4" t="str">
        <x:v>https://www.vesselfinder.com/vessels/details/1009118</x:v>
      </x:c>
      <x:c r="K17" s="28" t="n">
        <x:v>46290</x:v>
      </x:c>
    </x:row>
    <x:row r="18" ht="69" customHeight="1">
      <x:c r="A18" s="20" t="str">
        <x:v>Y701</x:v>
      </x:c>
      <x:c r="B18" s="20" t="str">
        <x:v>Batello</x:v>
      </x:c>
      <x:c r="C18" s="22" t="str">
        <x:v>1009118</x:v>
      </x:c>
      <x:c r="D18" s="4" t="str">
        <x:v>Database static GT</x:v>
      </x:c>
      <x:c r="E18" s="4" t="n">
        <x:v>2310</x:v>
      </x:c>
      <x:c r="F18" s="4" t="str">
        <x:v>GT</x:v>
      </x:c>
      <x:c r="G18" s="4" t="str">
        <x:v>Database static specification</x:v>
      </x:c>
      <x:c r="H18" s="4" t="str">
        <x:v>Not a current International Tonnage Certificate.</x:v>
      </x:c>
      <x:c r="I18" s="4" t="str">
        <x:v>V701</x:v>
      </x:c>
      <x:c r="J18" s="4" t="str">
        <x:v>https://www.vesselfinder.com/vessels/details/1009118</x:v>
      </x:c>
      <x:c r="K18" s="28" t="n">
        <x:v>46290</x:v>
      </x:c>
    </x:row>
    <x:row r="19" ht="69" customHeight="1">
      <x:c r="A19" s="20" t="str">
        <x:v>Y701</x:v>
      </x:c>
      <x:c r="B19" s="20" t="str">
        <x:v>Batello</x:v>
      </x:c>
      <x:c r="C19" s="22" t="str">
        <x:v>1009118</x:v>
      </x:c>
      <x:c r="D19" s="4" t="str">
        <x:v>Database deadweight</x:v>
      </x:c>
      <x:c r="E19" s="4" t="n">
        <x:v>395</x:v>
      </x:c>
      <x:c r="F19" s="4" t="str">
        <x:v>t</x:v>
      </x:c>
      <x:c r="G19" s="4" t="str">
        <x:v>Database static specification</x:v>
      </x:c>
      <x:c r="H19" s="4" t="str">
        <x:v>Deadweight is not displacement or gross tonnage.</x:v>
      </x:c>
      <x:c r="I19" s="4" t="str">
        <x:v>V701</x:v>
      </x:c>
      <x:c r="J19" s="4" t="str">
        <x:v>https://www.vesselfinder.com/vessels/details/1009118</x:v>
      </x:c>
      <x:c r="K19" s="28" t="n">
        <x:v>46290</x:v>
      </x:c>
    </x:row>
    <x:row r="20" ht="69" customHeight="1">
      <x:c r="A20" s="20" t="str">
        <x:v>Y701</x:v>
      </x:c>
      <x:c r="B20" s="20" t="str">
        <x:v>Batello</x:v>
      </x:c>
      <x:c r="C20" s="22" t="str">
        <x:v>1009118</x:v>
      </x:c>
      <x:c r="D20" s="4" t="str">
        <x:v>Hull material</x:v>
      </x:c>
      <x:c r="E20" s="4" t="str">
        <x:v>Steel</x:v>
      </x:c>
      <x:c r="F20" s="4" t="str"/>
      <x:c r="G20" s="4" t="str">
        <x:v>Published specification; not certificate-verified</x:v>
      </x:c>
      <x:c r="H20" s="4" t="str"/>
      <x:c r="I20" s="4" t="str">
        <x:v>Y701</x:v>
      </x:c>
      <x:c r="J20" s="4" t="str">
        <x:v>https://iyc.com/charter/batello/</x:v>
      </x:c>
      <x:c r="K20" s="28" t="n">
        <x:v>46290</x:v>
      </x:c>
    </x:row>
    <x:row r="21" ht="69" customHeight="1">
      <x:c r="A21" s="20" t="str">
        <x:v>Y701</x:v>
      </x:c>
      <x:c r="B21" s="20" t="str">
        <x:v>Batello</x:v>
      </x:c>
      <x:c r="C21" s="22" t="str">
        <x:v>1009118</x:v>
      </x:c>
      <x:c r="D21" s="4" t="str">
        <x:v>Exterior design</x:v>
      </x:c>
      <x:c r="E21" s="4" t="str">
        <x:v>Nuvolari Lenard</x:v>
      </x:c>
      <x:c r="F21" s="4" t="str"/>
      <x:c r="G21" s="4" t="str">
        <x:v>Builder design credit; original build unless expressly noted</x:v>
      </x:c>
      <x:c r="H21" s="4" t="str"/>
      <x:c r="I21" s="4" t="str">
        <x:v>B701</x:v>
      </x:c>
      <x:c r="J21" s="4" t="str">
        <x:v>https://www.oceancoyacht.com/fleet/batello/</x:v>
      </x:c>
      <x:c r="K21" s="28" t="n">
        <x:v>46290</x:v>
      </x:c>
    </x:row>
    <x:row r="22" ht="69" customHeight="1">
      <x:c r="A22" s="20" t="str">
        <x:v>Y701</x:v>
      </x:c>
      <x:c r="B22" s="20" t="str">
        <x:v>Batello</x:v>
      </x:c>
      <x:c r="C22" s="22" t="str">
        <x:v>1009118</x:v>
      </x:c>
      <x:c r="D22" s="4" t="str">
        <x:v>Interior design</x:v>
      </x:c>
      <x:c r="E22" s="4" t="str">
        <x:v>Alberto Pinto (original)</x:v>
      </x:c>
      <x:c r="F22" s="4" t="str"/>
      <x:c r="G22" s="4" t="str">
        <x:v>Builder design credit; may not describe later refit</x:v>
      </x:c>
      <x:c r="H22" s="4" t="str"/>
      <x:c r="I22" s="4" t="str">
        <x:v>B701</x:v>
      </x:c>
      <x:c r="J22" s="4" t="str">
        <x:v>https://www.oceancoyacht.com/fleet/batello/</x:v>
      </x:c>
      <x:c r="K22" s="28" t="n">
        <x:v>46290</x:v>
      </x:c>
    </x:row>
    <x:row r="23" ht="69" customHeight="1">
      <x:c r="A23" s="20" t="str">
        <x:v>Y701</x:v>
      </x:c>
      <x:c r="B23" s="20" t="str">
        <x:v>Batello</x:v>
      </x:c>
      <x:c r="C23" s="22" t="str">
        <x:v>1009118</x:v>
      </x:c>
      <x:c r="D23" s="4" t="str">
        <x:v>Cruising speed</x:v>
      </x:c>
      <x:c r="E23" s="4" t="n">
        <x:v>14</x:v>
      </x:c>
      <x:c r="F23" s="4" t="str">
        <x:v>kn</x:v>
      </x:c>
      <x:c r="G23" s="4" t="str">
        <x:v>Published specification; not certificate-verified</x:v>
      </x:c>
      <x:c r="H23" s="4" t="str"/>
      <x:c r="I23" s="4" t="str">
        <x:v>Y701</x:v>
      </x:c>
      <x:c r="J23" s="4" t="str">
        <x:v>https://iyc.com/charter/batello/</x:v>
      </x:c>
      <x:c r="K23" s="28" t="n">
        <x:v>46290</x:v>
      </x:c>
    </x:row>
    <x:row r="24" ht="69" customHeight="1">
      <x:c r="A24" s="20" t="str">
        <x:v>Y701</x:v>
      </x:c>
      <x:c r="B24" s="20" t="str">
        <x:v>Batello</x:v>
      </x:c>
      <x:c r="C24" s="22" t="str">
        <x:v>1009118</x:v>
      </x:c>
      <x:c r="D24" s="4" t="str">
        <x:v>Maximum motor speed</x:v>
      </x:c>
      <x:c r="E24" s="4" t="n">
        <x:v>20</x:v>
      </x:c>
      <x:c r="F24" s="4" t="str">
        <x:v>kn</x:v>
      </x:c>
      <x:c r="G24" s="4" t="str">
        <x:v>Published specification; not certificate-verified</x:v>
      </x:c>
      <x:c r="H24" s="4" t="str">
        <x:v>20kn in specification table; same page narrative says 19kn.</x:v>
      </x:c>
      <x:c r="I24" s="4" t="str">
        <x:v>Y701</x:v>
      </x:c>
      <x:c r="J24" s="4" t="str">
        <x:v>https://iyc.com/charter/batello/</x:v>
      </x:c>
      <x:c r="K24" s="28" t="n">
        <x:v>46290</x:v>
      </x:c>
    </x:row>
    <x:row r="25" ht="69" customHeight="1">
      <x:c r="A25" s="20" t="str">
        <x:v>Y701</x:v>
      </x:c>
      <x:c r="B25" s="20" t="str">
        <x:v>Batello</x:v>
      </x:c>
      <x:c r="C25" s="22" t="str">
        <x:v>1009118</x:v>
      </x:c>
      <x:c r="D25" s="4" t="str">
        <x:v>Published guests</x:v>
      </x:c>
      <x:c r="E25" s="4" t="n">
        <x:v>12</x:v>
      </x:c>
      <x:c r="F25" s="4" t="str">
        <x:v>persons</x:v>
      </x:c>
      <x:c r="G25" s="4" t="str">
        <x:v>Published specification; not certificate-verified</x:v>
      </x:c>
      <x:c r="H25" s="4" t="str"/>
      <x:c r="I25" s="4" t="str">
        <x:v>Y701</x:v>
      </x:c>
      <x:c r="J25" s="4" t="str">
        <x:v>https://iyc.com/charter/batello/</x:v>
      </x:c>
      <x:c r="K25" s="28" t="n">
        <x:v>46290</x:v>
      </x:c>
    </x:row>
    <x:row r="26" ht="69" customHeight="1">
      <x:c r="A26" s="20" t="str">
        <x:v>Y701</x:v>
      </x:c>
      <x:c r="B26" s="20" t="str">
        <x:v>Batello</x:v>
      </x:c>
      <x:c r="C26" s="22" t="str">
        <x:v>1009118</x:v>
      </x:c>
      <x:c r="D26" s="4" t="str">
        <x:v>Published guest cabins</x:v>
      </x:c>
      <x:c r="E26" s="4" t="n">
        <x:v>9</x:v>
      </x:c>
      <x:c r="F26" s="4" t="str">
        <x:v>cabins</x:v>
      </x:c>
      <x:c r="G26" s="4" t="str">
        <x:v>Published specification; not certificate-verified</x:v>
      </x:c>
      <x:c r="H26" s="4" t="str"/>
      <x:c r="I26" s="4" t="str">
        <x:v>Y701</x:v>
      </x:c>
      <x:c r="J26" s="4" t="str">
        <x:v>https://iyc.com/charter/batello/</x:v>
      </x:c>
      <x:c r="K26" s="28" t="n">
        <x:v>46290</x:v>
      </x:c>
    </x:row>
    <x:row r="27" ht="69" customHeight="1">
      <x:c r="A27" s="20" t="str">
        <x:v>Y701</x:v>
      </x:c>
      <x:c r="B27" s="20" t="str">
        <x:v>Batello</x:v>
      </x:c>
      <x:c r="C27" s="22" t="str">
        <x:v>1009118</x:v>
      </x:c>
      <x:c r="D27" s="4" t="str">
        <x:v>Published crew</x:v>
      </x:c>
      <x:c r="E27" s="4" t="n">
        <x:v>26</x:v>
      </x:c>
      <x:c r="F27" s="4" t="str">
        <x:v>persons</x:v>
      </x:c>
      <x:c r="G27" s="4" t="str">
        <x:v>Published specification; not certificate-verified</x:v>
      </x:c>
      <x:c r="H27" s="4" t="str"/>
      <x:c r="I27" s="4" t="str">
        <x:v>Y701</x:v>
      </x:c>
      <x:c r="J27" s="4" t="str">
        <x:v>https://iyc.com/charter/batello/</x:v>
      </x:c>
      <x:c r="K27" s="28" t="n">
        <x:v>46290</x:v>
      </x:c>
    </x:row>
    <x:row r="28" ht="69" customHeight="1">
      <x:c r="A28" s="20" t="str">
        <x:v>Y701</x:v>
      </x:c>
      <x:c r="B28" s="20" t="str">
        <x:v>Batello</x:v>
      </x:c>
      <x:c r="C28" s="22" t="str">
        <x:v>1009118</x:v>
      </x:c>
      <x:c r="D28" s="4" t="str">
        <x:v>Latest refit/rebuild identified</x:v>
      </x:c>
      <x:c r="E28" s="4" t="n">
        <x:v>2025</x:v>
      </x:c>
      <x:c r="F28" s="4" t="str">
        <x:v>year</x:v>
      </x:c>
      <x:c r="G28" s="4" t="str">
        <x:v>Published specification; not certificate-verified</x:v>
      </x:c>
      <x:c r="H28" s="4" t="str"/>
      <x:c r="I28" s="4" t="str">
        <x:v>Y701</x:v>
      </x:c>
      <x:c r="J28" s="4" t="str">
        <x:v>https://iyc.com/charter/batello/</x:v>
      </x:c>
      <x:c r="K28" s="28" t="n">
        <x:v>46290</x:v>
      </x:c>
    </x:row>
    <x:row r="29" ht="69" customHeight="1">
      <x:c r="A29" s="20" t="str">
        <x:v>Y701</x:v>
      </x:c>
      <x:c r="B29" s="20" t="str">
        <x:v>Batello</x:v>
      </x:c>
      <x:c r="C29" s="22" t="str">
        <x:v>1009118</x:v>
      </x:c>
      <x:c r="D29" s="4" t="str">
        <x:v>Selected publicly described features</x:v>
      </x:c>
      <x:c r="E29" s="4" t="str">
        <x:v>Retractable zero-speed stabilisers; interior refit by FM Architettura</x:v>
      </x:c>
      <x:c r="F29" s="4" t="str"/>
      <x:c r="G29" s="4" t="str">
        <x:v>Published specification; not certificate-verified</x:v>
      </x:c>
      <x:c r="H29" s="4" t="str"/>
      <x:c r="I29" s="4" t="str">
        <x:v>Y701</x:v>
      </x:c>
      <x:c r="J29" s="4" t="str">
        <x:v>https://iyc.com/charter/batello/</x:v>
      </x:c>
      <x:c r="K29" s="28" t="n">
        <x:v>46290</x:v>
      </x:c>
    </x:row>
    <x:row r="30" ht="69" customHeight="1">
      <x:c r="A30" s="20" t="str">
        <x:v>Y702</x:v>
      </x:c>
      <x:c r="B30" s="20" t="str">
        <x:v>Alfa Nero</x:v>
      </x:c>
      <x:c r="C30" s="22" t="str">
        <x:v>1009376</x:v>
      </x:c>
      <x:c r="D30" s="4" t="str">
        <x:v>Yard code</x:v>
      </x:c>
      <x:c r="E30" s="4" t="str">
        <x:v>Y702</x:v>
      </x:c>
      <x:c r="F30" s="4" t="str"/>
      <x:c r="G30" s="4" t="str">
        <x:v>Public build-to-vessel cross-reference</x:v>
      </x:c>
      <x:c r="H30" s="4" t="str">
        <x:v>No builder certificate inspected.</x:v>
      </x:c>
      <x:c r="I30" s="4" t="str">
        <x:v>Y702</x:v>
      </x:c>
      <x:c r="J30" s="4" t="str">
        <x:v>https://www.yachtfocus.com/it/barca/2007-oceanco-y702-10043681/</x:v>
      </x:c>
      <x:c r="K30" s="28" t="n">
        <x:v>46290</x:v>
      </x:c>
    </x:row>
    <x:row r="31" ht="69" customHeight="1">
      <x:c r="A31" s="20" t="str">
        <x:v>Y702</x:v>
      </x:c>
      <x:c r="B31" s="20" t="str">
        <x:v>Alfa Nero</x:v>
      </x:c>
      <x:c r="C31" s="22" t="str">
        <x:v>1009376</x:v>
      </x:c>
      <x:c r="D31" s="4" t="str">
        <x:v>Current published name</x:v>
      </x:c>
      <x:c r="E31" s="4" t="str">
        <x:v>Alfa Nero</x:v>
      </x:c>
      <x:c r="F31" s="4" t="str"/>
      <x:c r="G31" s="4" t="str">
        <x:v>Builder fleet publication</x:v>
      </x:c>
      <x:c r="H31" s="4" t="str">
        <x:v>Name may change after retrieval.</x:v>
      </x:c>
      <x:c r="I31" s="4" t="str">
        <x:v>B702</x:v>
      </x:c>
      <x:c r="J31" s="4" t="str">
        <x:v>https://www.oceancoyacht.com/fleet/alfa-nero/</x:v>
      </x:c>
      <x:c r="K31" s="28" t="n">
        <x:v>46290</x:v>
      </x:c>
    </x:row>
    <x:row r="32" ht="69" customHeight="1">
      <x:c r="A32" s="20" t="str">
        <x:v>Y702</x:v>
      </x:c>
      <x:c r="B32" s="20" t="str">
        <x:v>Alfa Nero</x:v>
      </x:c>
      <x:c r="C32" s="22" t="str">
        <x:v>1009376</x:v>
      </x:c>
      <x:c r="D32" s="4" t="str">
        <x:v>Delivered</x:v>
      </x:c>
      <x:c r="E32" s="4" t="n">
        <x:v>2007</x:v>
      </x:c>
      <x:c r="F32" s="4" t="str">
        <x:v>year</x:v>
      </x:c>
      <x:c r="G32" s="4" t="str">
        <x:v>Builder delivery year</x:v>
      </x:c>
      <x:c r="H32" s="4" t="str">
        <x:v>Do not equate with keel-laying or launch year.</x:v>
      </x:c>
      <x:c r="I32" s="4" t="str">
        <x:v>B702</x:v>
      </x:c>
      <x:c r="J32" s="4" t="str">
        <x:v>https://www.oceancoyacht.com/fleet/alfa-nero/</x:v>
      </x:c>
      <x:c r="K32" s="28" t="n">
        <x:v>46290</x:v>
      </x:c>
    </x:row>
    <x:row r="33" ht="69" customHeight="1">
      <x:c r="A33" s="20" t="str">
        <x:v>Y702</x:v>
      </x:c>
      <x:c r="B33" s="20" t="str">
        <x:v>Alfa Nero</x:v>
      </x:c>
      <x:c r="C33" s="22" t="str">
        <x:v>1009376</x:v>
      </x:c>
      <x:c r="D33" s="4" t="str">
        <x:v>IMO</x:v>
      </x:c>
      <x:c r="E33" s="4" t="str">
        <x:v>1009376</x:v>
      </x:c>
      <x:c r="F33" s="4" t="str"/>
      <x:c r="G33" s="4" t="str">
        <x:v>Database static vessel particulars</x:v>
      </x:c>
      <x:c r="H33" s="4" t="str">
        <x:v>Checksum passed; checksum does not independently confirm identity.</x:v>
      </x:c>
      <x:c r="I33" s="4" t="str">
        <x:v>V702</x:v>
      </x:c>
      <x:c r="J33" s="4" t="str">
        <x:v>https://www.vesselfinder.com/vessels/details/1009376</x:v>
      </x:c>
      <x:c r="K33" s="28" t="n">
        <x:v>46290</x:v>
      </x:c>
    </x:row>
    <x:row r="34" ht="69" customHeight="1">
      <x:c r="A34" s="20" t="str">
        <x:v>Y702</x:v>
      </x:c>
      <x:c r="B34" s="20" t="str">
        <x:v>Alfa Nero</x:v>
      </x:c>
      <x:c r="C34" s="22" t="str">
        <x:v>1009376</x:v>
      </x:c>
      <x:c r="D34" s="4" t="str">
        <x:v>MMSI</x:v>
      </x:c>
      <x:c r="E34" s="4" t="str">
        <x:v>249108000</x:v>
      </x:c>
      <x:c r="F34" s="4" t="str"/>
      <x:c r="G34" s="4" t="str">
        <x:v>Published radio identity</x:v>
      </x:c>
      <x:c r="H34" s="4" t="str">
        <x:v>Published database identity; current registry/radio licence not inspected.</x:v>
      </x:c>
      <x:c r="I34" s="4" t="str">
        <x:v>V702</x:v>
      </x:c>
      <x:c r="J34" s="4" t="str">
        <x:v>https://www.vesselfinder.com/vessels/details/1009376</x:v>
      </x:c>
      <x:c r="K34" s="28" t="n">
        <x:v>46290</x:v>
      </x:c>
    </x:row>
    <x:row r="35" ht="69" customHeight="1">
      <x:c r="A35" s="20" t="str">
        <x:v>Y702</x:v>
      </x:c>
      <x:c r="B35" s="20" t="str">
        <x:v>Alfa Nero</x:v>
      </x:c>
      <x:c r="C35" s="22" t="str">
        <x:v>1009376</x:v>
      </x:c>
      <x:c r="D35" s="4" t="str">
        <x:v>Call sign</x:v>
      </x:c>
      <x:c r="E35" s="4" t="str">
        <x:v>9HA6112</x:v>
      </x:c>
      <x:c r="F35" s="4" t="str"/>
      <x:c r="G35" s="4" t="str">
        <x:v>Published radio identity</x:v>
      </x:c>
      <x:c r="H35" s="4" t="str">
        <x:v>Published database identity; current registry/radio licence not inspected.</x:v>
      </x:c>
      <x:c r="I35" s="4" t="str">
        <x:v>V702</x:v>
      </x:c>
      <x:c r="J35" s="4" t="str">
        <x:v>https://www.vesselfinder.com/vessels/details/1009376</x:v>
      </x:c>
      <x:c r="K35" s="28" t="n">
        <x:v>46290</x:v>
      </x:c>
    </x:row>
    <x:row r="36" ht="69" customHeight="1">
      <x:c r="A36" s="20" t="str">
        <x:v>Y702</x:v>
      </x:c>
      <x:c r="B36" s="20" t="str">
        <x:v>Alfa Nero</x:v>
      </x:c>
      <x:c r="C36" s="22" t="str">
        <x:v>1009376</x:v>
      </x:c>
      <x:c r="D36" s="4" t="str">
        <x:v>Flag</x:v>
      </x:c>
      <x:c r="E36" s="4" t="str">
        <x:v>Malta</x:v>
      </x:c>
      <x:c r="F36" s="4" t="str"/>
      <x:c r="G36" s="4" t="str">
        <x:v>Published flag / AIS identity</x:v>
      </x:c>
      <x:c r="H36" s="4" t="str">
        <x:v>Published database identity; current registry/radio licence not inspected.</x:v>
      </x:c>
      <x:c r="I36" s="4" t="str">
        <x:v>V702</x:v>
      </x:c>
      <x:c r="J36" s="4" t="str">
        <x:v>https://www.vesselfinder.com/vessels/details/1009376</x:v>
      </x:c>
      <x:c r="K36" s="28" t="n">
        <x:v>46290</x:v>
      </x:c>
    </x:row>
    <x:row r="37" ht="69" customHeight="1">
      <x:c r="A37" s="20" t="str">
        <x:v>Y702</x:v>
      </x:c>
      <x:c r="B37" s="20" t="str">
        <x:v>Alfa Nero</x:v>
      </x:c>
      <x:c r="C37" s="22" t="str">
        <x:v>1009376</x:v>
      </x:c>
      <x:c r="D37" s="4" t="str">
        <x:v>Preferred published LOA</x:v>
      </x:c>
      <x:c r="E37" s="4" t="n">
        <x:v>82</x:v>
      </x:c>
      <x:c r="F37" s="4" t="str">
        <x:v>m</x:v>
      </x:c>
      <x:c r="G37" s="4" t="str">
        <x:v>Builder published overall length</x:v>
      </x:c>
      <x:c r="H37" s="4" t="str">
        <x:v>Not independently measured or certificate-verified.</x:v>
      </x:c>
      <x:c r="I37" s="4" t="str">
        <x:v>B702</x:v>
      </x:c>
      <x:c r="J37" s="4" t="str">
        <x:v>https://www.oceancoyacht.com/fleet/alfa-nero/</x:v>
      </x:c>
      <x:c r="K37" s="28" t="n">
        <x:v>46290</x:v>
      </x:c>
    </x:row>
    <x:row r="38" ht="69" customHeight="1">
      <x:c r="A38" s="20" t="str">
        <x:v>Y702</x:v>
      </x:c>
      <x:c r="B38" s="20" t="str">
        <x:v>Alfa Nero</x:v>
      </x:c>
      <x:c r="C38" s="22" t="str">
        <x:v>1009376</x:v>
      </x:c>
      <x:c r="D38" s="4" t="str">
        <x:v>Preferred published beam</x:v>
      </x:c>
      <x:c r="E38" s="4" t="n">
        <x:v>14.2</x:v>
      </x:c>
      <x:c r="F38" s="4" t="str">
        <x:v>m</x:v>
      </x:c>
      <x:c r="G38" s="4" t="str">
        <x:v>Builder published overall beam</x:v>
      </x:c>
      <x:c r="H38" s="4" t="str">
        <x:v>Not moulded breadth unless source explicitly says so.</x:v>
      </x:c>
      <x:c r="I38" s="4" t="str">
        <x:v>B702</x:v>
      </x:c>
      <x:c r="J38" s="4" t="str">
        <x:v>https://www.oceancoyacht.com/fleet/alfa-nero/</x:v>
      </x:c>
      <x:c r="K38" s="28" t="n">
        <x:v>46290</x:v>
      </x:c>
    </x:row>
    <x:row r="39" ht="69" customHeight="1">
      <x:c r="A39" s="20" t="str">
        <x:v>Y702</x:v>
      </x:c>
      <x:c r="B39" s="20" t="str">
        <x:v>Alfa Nero</x:v>
      </x:c>
      <x:c r="C39" s="22" t="str">
        <x:v>1009376</x:v>
      </x:c>
      <x:c r="D39" s="4" t="str">
        <x:v>Working gross tonnage</x:v>
      </x:c>
      <x:c r="E39" s="4" t="n">
        <x:v>2159</x:v>
      </x:c>
      <x:c r="F39" s="4" t="str">
        <x:v>GT</x:v>
      </x:c>
      <x:c r="G39" s="4" t="str">
        <x:v>Database static GT</x:v>
      </x:c>
      <x:c r="H39" s="4" t="str">
        <x:v>GT is not mass/displacement.</x:v>
      </x:c>
      <x:c r="I39" s="4" t="str">
        <x:v>V702</x:v>
      </x:c>
      <x:c r="J39" s="4" t="str">
        <x:v>https://www.vesselfinder.com/vessels/details/1009376</x:v>
      </x:c>
      <x:c r="K39" s="28" t="n">
        <x:v>46290</x:v>
      </x:c>
    </x:row>
    <x:row r="40" ht="69" customHeight="1">
      <x:c r="A40" s="20" t="str">
        <x:v>Y702</x:v>
      </x:c>
      <x:c r="B40" s="20" t="str">
        <x:v>Alfa Nero</x:v>
      </x:c>
      <x:c r="C40" s="22" t="str">
        <x:v>1009376</x:v>
      </x:c>
      <x:c r="D40" s="4" t="str">
        <x:v>Database static LOA</x:v>
      </x:c>
      <x:c r="E40" s="4" t="n">
        <x:v>81.27</x:v>
      </x:c>
      <x:c r="F40" s="4" t="str">
        <x:v>m</x:v>
      </x:c>
      <x:c r="G40" s="4" t="str">
        <x:v>Database static specification, not AIS dimensions</x:v>
      </x:c>
      <x:c r="H40" s="4" t="str">
        <x:v>Builder LOA 82m vs database 81.27m. Broker draft is not a certified maximum draft.</x:v>
      </x:c>
      <x:c r="I40" s="4" t="str">
        <x:v>V702</x:v>
      </x:c>
      <x:c r="J40" s="4" t="str">
        <x:v>https://www.vesselfinder.com/vessels/details/1009376</x:v>
      </x:c>
      <x:c r="K40" s="28" t="n">
        <x:v>46290</x:v>
      </x:c>
    </x:row>
    <x:row r="41" ht="69" customHeight="1">
      <x:c r="A41" s="20" t="str">
        <x:v>Y702</x:v>
      </x:c>
      <x:c r="B41" s="20" t="str">
        <x:v>Alfa Nero</x:v>
      </x:c>
      <x:c r="C41" s="22" t="str">
        <x:v>1009376</x:v>
      </x:c>
      <x:c r="D41" s="4" t="str">
        <x:v>Database static beam</x:v>
      </x:c>
      <x:c r="E41" s="4" t="n">
        <x:v>14.24</x:v>
      </x:c>
      <x:c r="F41" s="4" t="str">
        <x:v>m</x:v>
      </x:c>
      <x:c r="G41" s="4" t="str">
        <x:v>Database static specification, not AIS dimensions</x:v>
      </x:c>
      <x:c r="H41" s="4" t="str">
        <x:v>Builder LOA 82m vs database 81.27m. Broker draft is not a certified maximum draft.</x:v>
      </x:c>
      <x:c r="I41" s="4" t="str">
        <x:v>V702</x:v>
      </x:c>
      <x:c r="J41" s="4" t="str">
        <x:v>https://www.vesselfinder.com/vessels/details/1009376</x:v>
      </x:c>
      <x:c r="K41" s="28" t="n">
        <x:v>46290</x:v>
      </x:c>
    </x:row>
    <x:row r="42" ht="69" customHeight="1">
      <x:c r="A42" s="20" t="str">
        <x:v>Y702</x:v>
      </x:c>
      <x:c r="B42" s="20" t="str">
        <x:v>Alfa Nero</x:v>
      </x:c>
      <x:c r="C42" s="22" t="str">
        <x:v>1009376</x:v>
      </x:c>
      <x:c r="D42" s="4" t="str">
        <x:v>Database static GT</x:v>
      </x:c>
      <x:c r="E42" s="4" t="n">
        <x:v>2159</x:v>
      </x:c>
      <x:c r="F42" s="4" t="str">
        <x:v>GT</x:v>
      </x:c>
      <x:c r="G42" s="4" t="str">
        <x:v>Database static specification</x:v>
      </x:c>
      <x:c r="H42" s="4" t="str">
        <x:v>Not a current International Tonnage Certificate.</x:v>
      </x:c>
      <x:c r="I42" s="4" t="str">
        <x:v>V702</x:v>
      </x:c>
      <x:c r="J42" s="4" t="str">
        <x:v>https://www.vesselfinder.com/vessels/details/1009376</x:v>
      </x:c>
      <x:c r="K42" s="28" t="n">
        <x:v>46290</x:v>
      </x:c>
    </x:row>
    <x:row r="43" ht="69" customHeight="1">
      <x:c r="A43" s="20" t="str">
        <x:v>Y702</x:v>
      </x:c>
      <x:c r="B43" s="20" t="str">
        <x:v>Alfa Nero</x:v>
      </x:c>
      <x:c r="C43" s="22" t="str">
        <x:v>1009376</x:v>
      </x:c>
      <x:c r="D43" s="4" t="str">
        <x:v>Database deadweight</x:v>
      </x:c>
      <x:c r="E43" s="4" t="n">
        <x:v>482</x:v>
      </x:c>
      <x:c r="F43" s="4" t="str">
        <x:v>t</x:v>
      </x:c>
      <x:c r="G43" s="4" t="str">
        <x:v>Database static specification</x:v>
      </x:c>
      <x:c r="H43" s="4" t="str">
        <x:v>Deadweight is not displacement or gross tonnage.</x:v>
      </x:c>
      <x:c r="I43" s="4" t="str">
        <x:v>V702</x:v>
      </x:c>
      <x:c r="J43" s="4" t="str">
        <x:v>https://www.vesselfinder.com/vessels/details/1009376</x:v>
      </x:c>
      <x:c r="K43" s="28" t="n">
        <x:v>46290</x:v>
      </x:c>
    </x:row>
    <x:row r="44" ht="69" customHeight="1">
      <x:c r="A44" s="20" t="str">
        <x:v>Y702</x:v>
      </x:c>
      <x:c r="B44" s="20" t="str">
        <x:v>Alfa Nero</x:v>
      </x:c>
      <x:c r="C44" s="22" t="str">
        <x:v>1009376</x:v>
      </x:c>
      <x:c r="D44" s="4" t="str">
        <x:v>Published draft</x:v>
      </x:c>
      <x:c r="E44" s="4" t="n">
        <x:v>3.9</x:v>
      </x:c>
      <x:c r="F44" s="4" t="str">
        <x:v>m</x:v>
      </x:c>
      <x:c r="G44" s="4" t="str">
        <x:v>Published specification; not certificate-verified</x:v>
      </x:c>
      <x:c r="H44" s="4" t="str">
        <x:v>Published draft; design/max draft basis not stated.</x:v>
      </x:c>
      <x:c r="I44" s="4" t="str">
        <x:v>FR702</x:v>
      </x:c>
      <x:c r="J44" s="4" t="str">
        <x:v>https://www.fraseryachts.com/en/yacht-for-sale/alfa-nero/</x:v>
      </x:c>
      <x:c r="K44" s="28" t="n">
        <x:v>46290</x:v>
      </x:c>
    </x:row>
    <x:row r="45" ht="69" customHeight="1">
      <x:c r="A45" s="20" t="str">
        <x:v>Y702</x:v>
      </x:c>
      <x:c r="B45" s="20" t="str">
        <x:v>Alfa Nero</x:v>
      </x:c>
      <x:c r="C45" s="22" t="str">
        <x:v>1009376</x:v>
      </x:c>
      <x:c r="D45" s="4" t="str">
        <x:v>Hull material</x:v>
      </x:c>
      <x:c r="E45" s="4" t="str">
        <x:v>Steel</x:v>
      </x:c>
      <x:c r="F45" s="4" t="str"/>
      <x:c r="G45" s="4" t="str">
        <x:v>Published specification; not certificate-verified</x:v>
      </x:c>
      <x:c r="H45" s="4" t="str"/>
      <x:c r="I45" s="4" t="str">
        <x:v>FR702</x:v>
      </x:c>
      <x:c r="J45" s="4" t="str">
        <x:v>https://www.fraseryachts.com/en/yacht-for-sale/alfa-nero/</x:v>
      </x:c>
      <x:c r="K45" s="28" t="n">
        <x:v>46290</x:v>
      </x:c>
    </x:row>
    <x:row r="46" ht="69" customHeight="1">
      <x:c r="A46" s="20" t="str">
        <x:v>Y702</x:v>
      </x:c>
      <x:c r="B46" s="20" t="str">
        <x:v>Alfa Nero</x:v>
      </x:c>
      <x:c r="C46" s="22" t="str">
        <x:v>1009376</x:v>
      </x:c>
      <x:c r="D46" s="4" t="str">
        <x:v>Exterior design</x:v>
      </x:c>
      <x:c r="E46" s="4" t="str">
        <x:v>Nuvolari Lenard</x:v>
      </x:c>
      <x:c r="F46" s="4" t="str"/>
      <x:c r="G46" s="4" t="str">
        <x:v>Builder design credit; original build unless expressly noted</x:v>
      </x:c>
      <x:c r="H46" s="4" t="str"/>
      <x:c r="I46" s="4" t="str">
        <x:v>B702</x:v>
      </x:c>
      <x:c r="J46" s="4" t="str">
        <x:v>https://www.oceancoyacht.com/fleet/alfa-nero/</x:v>
      </x:c>
      <x:c r="K46" s="28" t="n">
        <x:v>46290</x:v>
      </x:c>
    </x:row>
    <x:row r="47" ht="69" customHeight="1">
      <x:c r="A47" s="20" t="str">
        <x:v>Y702</x:v>
      </x:c>
      <x:c r="B47" s="20" t="str">
        <x:v>Alfa Nero</x:v>
      </x:c>
      <x:c r="C47" s="22" t="str">
        <x:v>1009376</x:v>
      </x:c>
      <x:c r="D47" s="4" t="str">
        <x:v>Interior design</x:v>
      </x:c>
      <x:c r="E47" s="4" t="str">
        <x:v>Alberto Pinto</x:v>
      </x:c>
      <x:c r="F47" s="4" t="str"/>
      <x:c r="G47" s="4" t="str">
        <x:v>Builder design credit; may not describe later refit</x:v>
      </x:c>
      <x:c r="H47" s="4" t="str"/>
      <x:c r="I47" s="4" t="str">
        <x:v>B702</x:v>
      </x:c>
      <x:c r="J47" s="4" t="str">
        <x:v>https://www.oceancoyacht.com/fleet/alfa-nero/</x:v>
      </x:c>
      <x:c r="K47" s="28" t="n">
        <x:v>46290</x:v>
      </x:c>
    </x:row>
    <x:row r="48" ht="69" customHeight="1">
      <x:c r="A48" s="20" t="str">
        <x:v>Y702</x:v>
      </x:c>
      <x:c r="B48" s="20" t="str">
        <x:v>Alfa Nero</x:v>
      </x:c>
      <x:c r="C48" s="22" t="str">
        <x:v>1009376</x:v>
      </x:c>
      <x:c r="D48" s="4" t="str">
        <x:v>Main machinery (published wording)</x:v>
      </x:c>
      <x:c r="E48" s="4" t="str">
        <x:v>2 x MTU 4,680 hp (broker notation)</x:v>
      </x:c>
      <x:c r="F48" s="4" t="str"/>
      <x:c r="G48" s="4" t="str">
        <x:v>Published specification; not certificate-verified</x:v>
      </x:c>
      <x:c r="H48" s="4" t="str"/>
      <x:c r="I48" s="4" t="str">
        <x:v>FR702</x:v>
      </x:c>
      <x:c r="J48" s="4" t="str">
        <x:v>https://www.fraseryachts.com/en/yacht-for-sale/alfa-nero/</x:v>
      </x:c>
      <x:c r="K48" s="28" t="n">
        <x:v>46290</x:v>
      </x:c>
    </x:row>
    <x:row r="49" ht="69" customHeight="1">
      <x:c r="A49" s="20" t="str">
        <x:v>Y702</x:v>
      </x:c>
      <x:c r="B49" s="20" t="str">
        <x:v>Alfa Nero</x:v>
      </x:c>
      <x:c r="C49" s="22" t="str">
        <x:v>1009376</x:v>
      </x:c>
      <x:c r="D49" s="4" t="str">
        <x:v>Cruising speed</x:v>
      </x:c>
      <x:c r="E49" s="4" t="n">
        <x:v>15</x:v>
      </x:c>
      <x:c r="F49" s="4" t="str">
        <x:v>kn</x:v>
      </x:c>
      <x:c r="G49" s="4" t="str">
        <x:v>Published specification; not certificate-verified</x:v>
      </x:c>
      <x:c r="H49" s="4" t="str"/>
      <x:c r="I49" s="4" t="str">
        <x:v>FR702</x:v>
      </x:c>
      <x:c r="J49" s="4" t="str">
        <x:v>https://www.fraseryachts.com/en/yacht-for-sale/alfa-nero/</x:v>
      </x:c>
      <x:c r="K49" s="28" t="n">
        <x:v>46290</x:v>
      </x:c>
    </x:row>
    <x:row r="50" ht="69" customHeight="1">
      <x:c r="A50" s="20" t="str">
        <x:v>Y702</x:v>
      </x:c>
      <x:c r="B50" s="20" t="str">
        <x:v>Alfa Nero</x:v>
      </x:c>
      <x:c r="C50" s="22" t="str">
        <x:v>1009376</x:v>
      </x:c>
      <x:c r="D50" s="4" t="str">
        <x:v>Maximum motor speed</x:v>
      </x:c>
      <x:c r="E50" s="4" t="n">
        <x:v>20</x:v>
      </x:c>
      <x:c r="F50" s="4" t="str">
        <x:v>kn</x:v>
      </x:c>
      <x:c r="G50" s="4" t="str">
        <x:v>Published specification; not certificate-verified</x:v>
      </x:c>
      <x:c r="H50" s="4" t="str"/>
      <x:c r="I50" s="4" t="str">
        <x:v>FR702</x:v>
      </x:c>
      <x:c r="J50" s="4" t="str">
        <x:v>https://www.fraseryachts.com/en/yacht-for-sale/alfa-nero/</x:v>
      </x:c>
      <x:c r="K50" s="28" t="n">
        <x:v>46290</x:v>
      </x:c>
    </x:row>
    <x:row r="51" ht="69" customHeight="1">
      <x:c r="A51" s="20" t="str">
        <x:v>Y702</x:v>
      </x:c>
      <x:c r="B51" s="20" t="str">
        <x:v>Alfa Nero</x:v>
      </x:c>
      <x:c r="C51" s="22" t="str">
        <x:v>1009376</x:v>
      </x:c>
      <x:c r="D51" s="4" t="str">
        <x:v>Published range</x:v>
      </x:c>
      <x:c r="E51" s="4" t="n">
        <x:v>5500</x:v>
      </x:c>
      <x:c r="F51" s="4" t="str">
        <x:v>nm</x:v>
      </x:c>
      <x:c r="G51" s="4" t="str">
        <x:v>Published specification; not certificate-verified</x:v>
      </x:c>
      <x:c r="H51" s="4" t="str">
        <x:v>Range test speed not stated.</x:v>
      </x:c>
      <x:c r="I51" s="4" t="str">
        <x:v>FR702</x:v>
      </x:c>
      <x:c r="J51" s="4" t="str">
        <x:v>https://www.fraseryachts.com/en/yacht-for-sale/alfa-nero/</x:v>
      </x:c>
      <x:c r="K51" s="28" t="n">
        <x:v>46290</x:v>
      </x:c>
    </x:row>
    <x:row r="52" ht="69" customHeight="1">
      <x:c r="A52" s="20" t="str">
        <x:v>Y702</x:v>
      </x:c>
      <x:c r="B52" s="20" t="str">
        <x:v>Alfa Nero</x:v>
      </x:c>
      <x:c r="C52" s="22" t="str">
        <x:v>1009376</x:v>
      </x:c>
      <x:c r="D52" s="4" t="str">
        <x:v>Published guests</x:v>
      </x:c>
      <x:c r="E52" s="4" t="n">
        <x:v>12</x:v>
      </x:c>
      <x:c r="F52" s="4" t="str">
        <x:v>persons</x:v>
      </x:c>
      <x:c r="G52" s="4" t="str">
        <x:v>Published specification; not certificate-verified</x:v>
      </x:c>
      <x:c r="H52" s="4" t="str"/>
      <x:c r="I52" s="4" t="str">
        <x:v>FR702</x:v>
      </x:c>
      <x:c r="J52" s="4" t="str">
        <x:v>https://www.fraseryachts.com/en/yacht-for-sale/alfa-nero/</x:v>
      </x:c>
      <x:c r="K52" s="28" t="n">
        <x:v>46290</x:v>
      </x:c>
    </x:row>
    <x:row r="53" ht="69" customHeight="1">
      <x:c r="A53" s="20" t="str">
        <x:v>Y702</x:v>
      </x:c>
      <x:c r="B53" s="20" t="str">
        <x:v>Alfa Nero</x:v>
      </x:c>
      <x:c r="C53" s="22" t="str">
        <x:v>1009376</x:v>
      </x:c>
      <x:c r="D53" s="4" t="str">
        <x:v>Published guest cabins</x:v>
      </x:c>
      <x:c r="E53" s="4" t="n">
        <x:v>6</x:v>
      </x:c>
      <x:c r="F53" s="4" t="str">
        <x:v>cabins</x:v>
      </x:c>
      <x:c r="G53" s="4" t="str">
        <x:v>Published specification; not certificate-verified</x:v>
      </x:c>
      <x:c r="H53" s="4" t="str"/>
      <x:c r="I53" s="4" t="str">
        <x:v>FR702</x:v>
      </x:c>
      <x:c r="J53" s="4" t="str">
        <x:v>https://www.fraseryachts.com/en/yacht-for-sale/alfa-nero/</x:v>
      </x:c>
      <x:c r="K53" s="28" t="n">
        <x:v>46290</x:v>
      </x:c>
    </x:row>
    <x:row r="54" ht="69" customHeight="1">
      <x:c r="A54" s="20" t="str">
        <x:v>Y702</x:v>
      </x:c>
      <x:c r="B54" s="20" t="str">
        <x:v>Alfa Nero</x:v>
      </x:c>
      <x:c r="C54" s="22" t="str">
        <x:v>1009376</x:v>
      </x:c>
      <x:c r="D54" s="4" t="str">
        <x:v>Published crew</x:v>
      </x:c>
      <x:c r="E54" s="4" t="n">
        <x:v>28</x:v>
      </x:c>
      <x:c r="F54" s="4" t="str">
        <x:v>persons</x:v>
      </x:c>
      <x:c r="G54" s="4" t="str">
        <x:v>Published specification; not certificate-verified</x:v>
      </x:c>
      <x:c r="H54" s="4" t="str"/>
      <x:c r="I54" s="4" t="str">
        <x:v>FR702</x:v>
      </x:c>
      <x:c r="J54" s="4" t="str">
        <x:v>https://www.fraseryachts.com/en/yacht-for-sale/alfa-nero/</x:v>
      </x:c>
      <x:c r="K54" s="28" t="n">
        <x:v>46290</x:v>
      </x:c>
    </x:row>
    <x:row r="55" ht="69" customHeight="1">
      <x:c r="A55" s="20" t="str">
        <x:v>Y702</x:v>
      </x:c>
      <x:c r="B55" s="20" t="str">
        <x:v>Alfa Nero</x:v>
      </x:c>
      <x:c r="C55" s="22" t="str">
        <x:v>1009376</x:v>
      </x:c>
      <x:c r="D55" s="4" t="str">
        <x:v>Published class society</x:v>
      </x:c>
      <x:c r="E55" s="4" t="str">
        <x:v>Lloyd's Register</x:v>
      </x:c>
      <x:c r="F55" s="4" t="str"/>
      <x:c r="G55" s="4" t="str">
        <x:v>Published specification; not certificate-verified</x:v>
      </x:c>
      <x:c r="H55" s="4" t="str"/>
      <x:c r="I55" s="4" t="str">
        <x:v>FR702</x:v>
      </x:c>
      <x:c r="J55" s="4" t="str">
        <x:v>https://www.fraseryachts.com/en/yacht-for-sale/alfa-nero/</x:v>
      </x:c>
      <x:c r="K55" s="28" t="n">
        <x:v>46290</x:v>
      </x:c>
    </x:row>
    <x:row r="56" ht="69" customHeight="1">
      <x:c r="A56" s="20" t="str">
        <x:v>Y702</x:v>
      </x:c>
      <x:c r="B56" s="20" t="str">
        <x:v>Alfa Nero</x:v>
      </x:c>
      <x:c r="C56" s="22" t="str">
        <x:v>1009376</x:v>
      </x:c>
      <x:c r="D56" s="4" t="str">
        <x:v>Latest refit/rebuild identified</x:v>
      </x:c>
      <x:c r="E56" s="4" t="n">
        <x:v>2024</x:v>
      </x:c>
      <x:c r="F56" s="4" t="str">
        <x:v>year</x:v>
      </x:c>
      <x:c r="G56" s="4" t="str">
        <x:v>Published specification; not certificate-verified</x:v>
      </x:c>
      <x:c r="H56" s="4" t="str"/>
      <x:c r="I56" s="4" t="str">
        <x:v>FR702</x:v>
      </x:c>
      <x:c r="J56" s="4" t="str">
        <x:v>https://www.fraseryachts.com/en/yacht-for-sale/alfa-nero/</x:v>
      </x:c>
      <x:c r="K56" s="28" t="n">
        <x:v>46290</x:v>
      </x:c>
    </x:row>
    <x:row r="57" ht="69" customHeight="1">
      <x:c r="A57" s="20" t="str">
        <x:v>Y702</x:v>
      </x:c>
      <x:c r="B57" s="20" t="str">
        <x:v>Alfa Nero</x:v>
      </x:c>
      <x:c r="C57" s="22" t="str">
        <x:v>1009376</x:v>
      </x:c>
      <x:c r="D57" s="4" t="str">
        <x:v>Selected publicly described features</x:v>
      </x:c>
      <x:c r="E57" s="4" t="str">
        <x:v>6 guest staterooms plus 1 staff suite; stabilisation at anchor and underway</x:v>
      </x:c>
      <x:c r="F57" s="4" t="str"/>
      <x:c r="G57" s="4" t="str">
        <x:v>Published specification; not certificate-verified</x:v>
      </x:c>
      <x:c r="H57" s="4" t="str"/>
      <x:c r="I57" s="4" t="str">
        <x:v>FR702</x:v>
      </x:c>
      <x:c r="J57" s="4" t="str">
        <x:v>https://www.fraseryachts.com/en/yacht-for-sale/alfa-nero/</x:v>
      </x:c>
      <x:c r="K57" s="28" t="n">
        <x:v>46290</x:v>
      </x:c>
    </x:row>
    <x:row r="58" ht="69" customHeight="1">
      <x:c r="A58" s="20" t="str">
        <x:v>Y702</x:v>
      </x:c>
      <x:c r="B58" s="20" t="str">
        <x:v>Alfa Nero</x:v>
      </x:c>
      <x:c r="C58" s="22" t="str">
        <x:v>1009376</x:v>
      </x:c>
      <x:c r="D58" s="4" t="str">
        <x:v>Generator specification</x:v>
      </x:c>
      <x:c r="E58" s="4" t="str">
        <x:v>3 x MTU 332 kW</x:v>
      </x:c>
      <x:c r="F58" s="4" t="str"/>
      <x:c r="G58" s="4" t="str">
        <x:v>Broker publication</x:v>
      </x:c>
      <x:c r="H58" s="4" t="str">
        <x:v>Unit rating is as published; electrical configuration not verified.</x:v>
      </x:c>
      <x:c r="I58" s="4" t="str">
        <x:v>FR702</x:v>
      </x:c>
      <x:c r="J58" s="4" t="str">
        <x:v>https://www.fraseryachts.com/en/yacht-for-sale/alfa-nero/</x:v>
      </x:c>
      <x:c r="K58" s="28" t="n">
        <x:v>46290</x:v>
      </x:c>
    </x:row>
    <x:row r="59" ht="69" customHeight="1">
      <x:c r="A59" s="20" t="str">
        <x:v>Y703</x:v>
      </x:c>
      <x:c r="B59" s="20" t="str">
        <x:v>Wheels</x:v>
      </x:c>
      <x:c r="C59" s="22" t="str">
        <x:v>1009388</x:v>
      </x:c>
      <x:c r="D59" s="4" t="str">
        <x:v>Yard code</x:v>
      </x:c>
      <x:c r="E59" s="4" t="str">
        <x:v>Y703</x:v>
      </x:c>
      <x:c r="F59" s="4" t="str"/>
      <x:c r="G59" s="4" t="str">
        <x:v>Public build-to-vessel cross-reference</x:v>
      </x:c>
      <x:c r="H59" s="4" t="str">
        <x:v>No builder certificate inspected.</x:v>
      </x:c>
      <x:c r="I59" s="4" t="str">
        <x:v>Y703</x:v>
      </x:c>
      <x:c r="J59" s="4" t="str">
        <x:v>https://www.shipspotting.com/photos/324611</x:v>
      </x:c>
      <x:c r="K59" s="28" t="n">
        <x:v>46290</x:v>
      </x:c>
    </x:row>
    <x:row r="60" ht="69" customHeight="1">
      <x:c r="A60" s="20" t="str">
        <x:v>Y703</x:v>
      </x:c>
      <x:c r="B60" s="20" t="str">
        <x:v>Wheels</x:v>
      </x:c>
      <x:c r="C60" s="22" t="str">
        <x:v>1009388</x:v>
      </x:c>
      <x:c r="D60" s="4" t="str">
        <x:v>Current published name</x:v>
      </x:c>
      <x:c r="E60" s="4" t="str">
        <x:v>Wheels</x:v>
      </x:c>
      <x:c r="F60" s="4" t="str"/>
      <x:c r="G60" s="4" t="str">
        <x:v>Builder fleet publication</x:v>
      </x:c>
      <x:c r="H60" s="4" t="str">
        <x:v>Name may change after retrieval.</x:v>
      </x:c>
      <x:c r="I60" s="4" t="str">
        <x:v>B703</x:v>
      </x:c>
      <x:c r="J60" s="4" t="str">
        <x:v>https://www.oceancoyacht.com/fleet/wheels/</x:v>
      </x:c>
      <x:c r="K60" s="28" t="n">
        <x:v>46290</x:v>
      </x:c>
    </x:row>
    <x:row r="61" ht="69" customHeight="1">
      <x:c r="A61" s="20" t="str">
        <x:v>Y703</x:v>
      </x:c>
      <x:c r="B61" s="20" t="str">
        <x:v>Wheels</x:v>
      </x:c>
      <x:c r="C61" s="22" t="str">
        <x:v>1009388</x:v>
      </x:c>
      <x:c r="D61" s="4" t="str">
        <x:v>Former names / aliases</x:v>
      </x:c>
      <x:c r="E61" s="4" t="str">
        <x:v>Anastasia</x:v>
      </x:c>
      <x:c r="F61" s="4" t="str"/>
      <x:c r="G61" s="4" t="str">
        <x:v>Published name history / alias</x:v>
      </x:c>
      <x:c r="H61" s="4" t="str">
        <x:v>Not a certified complete sequence; dates not inferred.</x:v>
      </x:c>
      <x:c r="I61" s="4" t="str">
        <x:v>V703</x:v>
      </x:c>
      <x:c r="J61" s="4" t="str">
        <x:v>https://www.vesselfinder.com/vessels/details/1009388</x:v>
      </x:c>
      <x:c r="K61" s="28" t="n">
        <x:v>46290</x:v>
      </x:c>
    </x:row>
    <x:row r="62" ht="69" customHeight="1">
      <x:c r="A62" s="20" t="str">
        <x:v>Y703</x:v>
      </x:c>
      <x:c r="B62" s="20" t="str">
        <x:v>Wheels</x:v>
      </x:c>
      <x:c r="C62" s="22" t="str">
        <x:v>1009388</x:v>
      </x:c>
      <x:c r="D62" s="4" t="str">
        <x:v>Delivered</x:v>
      </x:c>
      <x:c r="E62" s="4" t="n">
        <x:v>2008</x:v>
      </x:c>
      <x:c r="F62" s="4" t="str">
        <x:v>year</x:v>
      </x:c>
      <x:c r="G62" s="4" t="str">
        <x:v>Builder delivery year</x:v>
      </x:c>
      <x:c r="H62" s="4" t="str">
        <x:v>Do not equate with keel-laying or launch year.</x:v>
      </x:c>
      <x:c r="I62" s="4" t="str">
        <x:v>B703</x:v>
      </x:c>
      <x:c r="J62" s="4" t="str">
        <x:v>https://www.oceancoyacht.com/fleet/wheels/</x:v>
      </x:c>
      <x:c r="K62" s="28" t="n">
        <x:v>46290</x:v>
      </x:c>
    </x:row>
    <x:row r="63" ht="69" customHeight="1">
      <x:c r="A63" s="20" t="str">
        <x:v>Y703</x:v>
      </x:c>
      <x:c r="B63" s="20" t="str">
        <x:v>Wheels</x:v>
      </x:c>
      <x:c r="C63" s="22" t="str">
        <x:v>1009388</x:v>
      </x:c>
      <x:c r="D63" s="4" t="str">
        <x:v>IMO</x:v>
      </x:c>
      <x:c r="E63" s="4" t="str">
        <x:v>1009388</x:v>
      </x:c>
      <x:c r="F63" s="4" t="str"/>
      <x:c r="G63" s="4" t="str">
        <x:v>Database static vessel particulars</x:v>
      </x:c>
      <x:c r="H63" s="4" t="str">
        <x:v>Checksum passed; checksum does not independently confirm identity.</x:v>
      </x:c>
      <x:c r="I63" s="4" t="str">
        <x:v>V703</x:v>
      </x:c>
      <x:c r="J63" s="4" t="str">
        <x:v>https://www.vesselfinder.com/vessels/details/1009388</x:v>
      </x:c>
      <x:c r="K63" s="28" t="n">
        <x:v>46290</x:v>
      </x:c>
    </x:row>
    <x:row r="64" ht="69" customHeight="1">
      <x:c r="A64" s="20" t="str">
        <x:v>Y703</x:v>
      </x:c>
      <x:c r="B64" s="20" t="str">
        <x:v>Wheels</x:v>
      </x:c>
      <x:c r="C64" s="22" t="str">
        <x:v>1009388</x:v>
      </x:c>
      <x:c r="D64" s="4" t="str">
        <x:v>MMSI</x:v>
      </x:c>
      <x:c r="E64" s="4" t="str">
        <x:v>215279000</x:v>
      </x:c>
      <x:c r="F64" s="4" t="str"/>
      <x:c r="G64" s="4" t="str">
        <x:v>Published radio identity</x:v>
      </x:c>
      <x:c r="H64" s="4" t="str">
        <x:v>Published database identity; current registry/radio licence not inspected.</x:v>
      </x:c>
      <x:c r="I64" s="4" t="str">
        <x:v>V703</x:v>
      </x:c>
      <x:c r="J64" s="4" t="str">
        <x:v>https://www.vesselfinder.com/vessels/details/1009388</x:v>
      </x:c>
      <x:c r="K64" s="28" t="n">
        <x:v>46290</x:v>
      </x:c>
    </x:row>
    <x:row r="65" ht="69" customHeight="1">
      <x:c r="A65" s="20" t="str">
        <x:v>Y703</x:v>
      </x:c>
      <x:c r="B65" s="20" t="str">
        <x:v>Wheels</x:v>
      </x:c>
      <x:c r="C65" s="22" t="str">
        <x:v>1009388</x:v>
      </x:c>
      <x:c r="D65" s="4" t="str">
        <x:v>Call sign</x:v>
      </x:c>
      <x:c r="E65" s="4" t="str">
        <x:v>9HA5036</x:v>
      </x:c>
      <x:c r="F65" s="4" t="str"/>
      <x:c r="G65" s="4" t="str">
        <x:v>Published radio identity</x:v>
      </x:c>
      <x:c r="H65" s="4" t="str">
        <x:v>Published database identity; current registry/radio licence not inspected.</x:v>
      </x:c>
      <x:c r="I65" s="4" t="str">
        <x:v>V703</x:v>
      </x:c>
      <x:c r="J65" s="4" t="str">
        <x:v>https://www.vesselfinder.com/vessels/details/1009388</x:v>
      </x:c>
      <x:c r="K65" s="28" t="n">
        <x:v>46290</x:v>
      </x:c>
    </x:row>
    <x:row r="66" ht="69" customHeight="1">
      <x:c r="A66" s="20" t="str">
        <x:v>Y703</x:v>
      </x:c>
      <x:c r="B66" s="20" t="str">
        <x:v>Wheels</x:v>
      </x:c>
      <x:c r="C66" s="22" t="str">
        <x:v>1009388</x:v>
      </x:c>
      <x:c r="D66" s="4" t="str">
        <x:v>Flag</x:v>
      </x:c>
      <x:c r="E66" s="4" t="str">
        <x:v>Malta</x:v>
      </x:c>
      <x:c r="F66" s="4" t="str"/>
      <x:c r="G66" s="4" t="str">
        <x:v>Published flag / AIS identity</x:v>
      </x:c>
      <x:c r="H66" s="4" t="str">
        <x:v>Published database identity; current registry/radio licence not inspected.</x:v>
      </x:c>
      <x:c r="I66" s="4" t="str">
        <x:v>V703</x:v>
      </x:c>
      <x:c r="J66" s="4" t="str">
        <x:v>https://www.vesselfinder.com/vessels/details/1009388</x:v>
      </x:c>
      <x:c r="K66" s="28" t="n">
        <x:v>46290</x:v>
      </x:c>
    </x:row>
    <x:row r="67" ht="69" customHeight="1">
      <x:c r="A67" s="20" t="str">
        <x:v>Y703</x:v>
      </x:c>
      <x:c r="B67" s="20" t="str">
        <x:v>Wheels</x:v>
      </x:c>
      <x:c r="C67" s="22" t="str">
        <x:v>1009388</x:v>
      </x:c>
      <x:c r="D67" s="4" t="str">
        <x:v>Preferred published LOA</x:v>
      </x:c>
      <x:c r="E67" s="4" t="n">
        <x:v>75.5</x:v>
      </x:c>
      <x:c r="F67" s="4" t="str">
        <x:v>m</x:v>
      </x:c>
      <x:c r="G67" s="4" t="str">
        <x:v>Builder published overall length</x:v>
      </x:c>
      <x:c r="H67" s="4" t="str">
        <x:v>Not independently measured or certificate-verified.</x:v>
      </x:c>
      <x:c r="I67" s="4" t="str">
        <x:v>B703</x:v>
      </x:c>
      <x:c r="J67" s="4" t="str">
        <x:v>https://www.oceancoyacht.com/fleet/wheels/</x:v>
      </x:c>
      <x:c r="K67" s="28" t="n">
        <x:v>46290</x:v>
      </x:c>
    </x:row>
    <x:row r="68" ht="69" customHeight="1">
      <x:c r="A68" s="20" t="str">
        <x:v>Y703</x:v>
      </x:c>
      <x:c r="B68" s="20" t="str">
        <x:v>Wheels</x:v>
      </x:c>
      <x:c r="C68" s="22" t="str">
        <x:v>1009388</x:v>
      </x:c>
      <x:c r="D68" s="4" t="str">
        <x:v>Preferred published beam</x:v>
      </x:c>
      <x:c r="E68" s="4" t="n">
        <x:v>13.5</x:v>
      </x:c>
      <x:c r="F68" s="4" t="str">
        <x:v>m</x:v>
      </x:c>
      <x:c r="G68" s="4" t="str">
        <x:v>Builder published overall beam</x:v>
      </x:c>
      <x:c r="H68" s="4" t="str">
        <x:v>Not moulded breadth unless source explicitly says so.</x:v>
      </x:c>
      <x:c r="I68" s="4" t="str">
        <x:v>B703</x:v>
      </x:c>
      <x:c r="J68" s="4" t="str">
        <x:v>https://www.oceancoyacht.com/fleet/wheels/</x:v>
      </x:c>
      <x:c r="K68" s="28" t="n">
        <x:v>46290</x:v>
      </x:c>
    </x:row>
    <x:row r="69" ht="69" customHeight="1">
      <x:c r="A69" s="20" t="str">
        <x:v>Y703</x:v>
      </x:c>
      <x:c r="B69" s="20" t="str">
        <x:v>Wheels</x:v>
      </x:c>
      <x:c r="C69" s="22" t="str">
        <x:v>1009388</x:v>
      </x:c>
      <x:c r="D69" s="4" t="str">
        <x:v>Working gross tonnage</x:v>
      </x:c>
      <x:c r="E69" s="4" t="n">
        <x:v>1991</x:v>
      </x:c>
      <x:c r="F69" s="4" t="str">
        <x:v>GT</x:v>
      </x:c>
      <x:c r="G69" s="4" t="str">
        <x:v>Database static GT</x:v>
      </x:c>
      <x:c r="H69" s="4" t="str">
        <x:v>GT is not mass/displacement.</x:v>
      </x:c>
      <x:c r="I69" s="4" t="str">
        <x:v>V703</x:v>
      </x:c>
      <x:c r="J69" s="4" t="str">
        <x:v>https://www.vesselfinder.com/vessels/details/1009388</x:v>
      </x:c>
      <x:c r="K69" s="28" t="n">
        <x:v>46290</x:v>
      </x:c>
    </x:row>
    <x:row r="70" ht="69" customHeight="1">
      <x:c r="A70" s="20" t="str">
        <x:v>Y703</x:v>
      </x:c>
      <x:c r="B70" s="20" t="str">
        <x:v>Wheels</x:v>
      </x:c>
      <x:c r="C70" s="22" t="str">
        <x:v>1009388</x:v>
      </x:c>
      <x:c r="D70" s="4" t="str">
        <x:v>Database static LOA</x:v>
      </x:c>
      <x:c r="E70" s="4" t="n">
        <x:v>75.5</x:v>
      </x:c>
      <x:c r="F70" s="4" t="str">
        <x:v>m</x:v>
      </x:c>
      <x:c r="G70" s="4" t="str">
        <x:v>Database static specification, not AIS dimensions</x:v>
      </x:c>
      <x:c r="H70" s="4" t="str">
        <x:v>Builder beam 13.5m; broker 13.49m; database 13.38m.</x:v>
      </x:c>
      <x:c r="I70" s="4" t="str">
        <x:v>V703</x:v>
      </x:c>
      <x:c r="J70" s="4" t="str">
        <x:v>https://www.vesselfinder.com/vessels/details/1009388</x:v>
      </x:c>
      <x:c r="K70" s="28" t="n">
        <x:v>46290</x:v>
      </x:c>
    </x:row>
    <x:row r="71" ht="69" customHeight="1">
      <x:c r="A71" s="20" t="str">
        <x:v>Y703</x:v>
      </x:c>
      <x:c r="B71" s="20" t="str">
        <x:v>Wheels</x:v>
      </x:c>
      <x:c r="C71" s="22" t="str">
        <x:v>1009388</x:v>
      </x:c>
      <x:c r="D71" s="4" t="str">
        <x:v>Database static beam</x:v>
      </x:c>
      <x:c r="E71" s="4" t="n">
        <x:v>13.38</x:v>
      </x:c>
      <x:c r="F71" s="4" t="str">
        <x:v>m</x:v>
      </x:c>
      <x:c r="G71" s="4" t="str">
        <x:v>Database static specification, not AIS dimensions</x:v>
      </x:c>
      <x:c r="H71" s="4" t="str">
        <x:v>Builder beam 13.5m; broker 13.49m; database 13.38m.</x:v>
      </x:c>
      <x:c r="I71" s="4" t="str">
        <x:v>V703</x:v>
      </x:c>
      <x:c r="J71" s="4" t="str">
        <x:v>https://www.vesselfinder.com/vessels/details/1009388</x:v>
      </x:c>
      <x:c r="K71" s="28" t="n">
        <x:v>46290</x:v>
      </x:c>
    </x:row>
    <x:row r="72" ht="69" customHeight="1">
      <x:c r="A72" s="20" t="str">
        <x:v>Y703</x:v>
      </x:c>
      <x:c r="B72" s="20" t="str">
        <x:v>Wheels</x:v>
      </x:c>
      <x:c r="C72" s="22" t="str">
        <x:v>1009388</x:v>
      </x:c>
      <x:c r="D72" s="4" t="str">
        <x:v>Database static GT</x:v>
      </x:c>
      <x:c r="E72" s="4" t="n">
        <x:v>1991</x:v>
      </x:c>
      <x:c r="F72" s="4" t="str">
        <x:v>GT</x:v>
      </x:c>
      <x:c r="G72" s="4" t="str">
        <x:v>Database static specification</x:v>
      </x:c>
      <x:c r="H72" s="4" t="str">
        <x:v>Not a current International Tonnage Certificate.</x:v>
      </x:c>
      <x:c r="I72" s="4" t="str">
        <x:v>V703</x:v>
      </x:c>
      <x:c r="J72" s="4" t="str">
        <x:v>https://www.vesselfinder.com/vessels/details/1009388</x:v>
      </x:c>
      <x:c r="K72" s="28" t="n">
        <x:v>46290</x:v>
      </x:c>
    </x:row>
    <x:row r="73" ht="69" customHeight="1">
      <x:c r="A73" s="20" t="str">
        <x:v>Y703</x:v>
      </x:c>
      <x:c r="B73" s="20" t="str">
        <x:v>Wheels</x:v>
      </x:c>
      <x:c r="C73" s="22" t="str">
        <x:v>1009388</x:v>
      </x:c>
      <x:c r="D73" s="4" t="str">
        <x:v>Database deadweight</x:v>
      </x:c>
      <x:c r="E73" s="4" t="n">
        <x:v>182</x:v>
      </x:c>
      <x:c r="F73" s="4" t="str">
        <x:v>t</x:v>
      </x:c>
      <x:c r="G73" s="4" t="str">
        <x:v>Database static specification</x:v>
      </x:c>
      <x:c r="H73" s="4" t="str">
        <x:v>Deadweight is not displacement or gross tonnage.</x:v>
      </x:c>
      <x:c r="I73" s="4" t="str">
        <x:v>V703</x:v>
      </x:c>
      <x:c r="J73" s="4" t="str">
        <x:v>https://www.vesselfinder.com/vessels/details/1009388</x:v>
      </x:c>
      <x:c r="K73" s="28" t="n">
        <x:v>46290</x:v>
      </x:c>
    </x:row>
    <x:row r="74" ht="69" customHeight="1">
      <x:c r="A74" s="20" t="str">
        <x:v>Y703</x:v>
      </x:c>
      <x:c r="B74" s="20" t="str">
        <x:v>Wheels</x:v>
      </x:c>
      <x:c r="C74" s="22" t="str">
        <x:v>1009388</x:v>
      </x:c>
      <x:c r="D74" s="4" t="str">
        <x:v>Published draft</x:v>
      </x:c>
      <x:c r="E74" s="4" t="n">
        <x:v>3.86</x:v>
      </x:c>
      <x:c r="F74" s="4" t="str">
        <x:v>m</x:v>
      </x:c>
      <x:c r="G74" s="4" t="str">
        <x:v>Published specification; not certificate-verified</x:v>
      </x:c>
      <x:c r="H74" s="4" t="str">
        <x:v>Published draft; design/max draft basis not stated.</x:v>
      </x:c>
      <x:c r="I74" s="4" t="str">
        <x:v>FR703</x:v>
      </x:c>
      <x:c r="J74" s="4" t="str">
        <x:v>https://www.fraseryachts.com/en/yacht-for-charter/wheels/</x:v>
      </x:c>
      <x:c r="K74" s="28" t="n">
        <x:v>46290</x:v>
      </x:c>
    </x:row>
    <x:row r="75" ht="69" customHeight="1">
      <x:c r="A75" s="20" t="str">
        <x:v>Y703</x:v>
      </x:c>
      <x:c r="B75" s="20" t="str">
        <x:v>Wheels</x:v>
      </x:c>
      <x:c r="C75" s="22" t="str">
        <x:v>1009388</x:v>
      </x:c>
      <x:c r="D75" s="4" t="str">
        <x:v>Hull material</x:v>
      </x:c>
      <x:c r="E75" s="4" t="str">
        <x:v>Steel</x:v>
      </x:c>
      <x:c r="F75" s="4" t="str"/>
      <x:c r="G75" s="4" t="str">
        <x:v>Published specification; not certificate-verified</x:v>
      </x:c>
      <x:c r="H75" s="4" t="str"/>
      <x:c r="I75" s="4" t="str">
        <x:v>FR703</x:v>
      </x:c>
      <x:c r="J75" s="4" t="str">
        <x:v>https://www.fraseryachts.com/en/yacht-for-charter/wheels/</x:v>
      </x:c>
      <x:c r="K75" s="28" t="n">
        <x:v>46290</x:v>
      </x:c>
    </x:row>
    <x:row r="76" ht="69" customHeight="1">
      <x:c r="A76" s="20" t="str">
        <x:v>Y703</x:v>
      </x:c>
      <x:c r="B76" s="20" t="str">
        <x:v>Wheels</x:v>
      </x:c>
      <x:c r="C76" s="22" t="str">
        <x:v>1009388</x:v>
      </x:c>
      <x:c r="D76" s="4" t="str">
        <x:v>Exterior design</x:v>
      </x:c>
      <x:c r="E76" s="4" t="str">
        <x:v>Sam Sorgiovanni</x:v>
      </x:c>
      <x:c r="F76" s="4" t="str"/>
      <x:c r="G76" s="4" t="str">
        <x:v>Builder design credit; original build unless expressly noted</x:v>
      </x:c>
      <x:c r="H76" s="4" t="str"/>
      <x:c r="I76" s="4" t="str">
        <x:v>B703</x:v>
      </x:c>
      <x:c r="J76" s="4" t="str">
        <x:v>https://www.oceancoyacht.com/fleet/wheels/</x:v>
      </x:c>
      <x:c r="K76" s="28" t="n">
        <x:v>46290</x:v>
      </x:c>
    </x:row>
    <x:row r="77" ht="69" customHeight="1">
      <x:c r="A77" s="20" t="str">
        <x:v>Y703</x:v>
      </x:c>
      <x:c r="B77" s="20" t="str">
        <x:v>Wheels</x:v>
      </x:c>
      <x:c r="C77" s="22" t="str">
        <x:v>1009388</x:v>
      </x:c>
      <x:c r="D77" s="4" t="str">
        <x:v>Interior design</x:v>
      </x:c>
      <x:c r="E77" s="4" t="str">
        <x:v>Sam Sorgiovanni</x:v>
      </x:c>
      <x:c r="F77" s="4" t="str"/>
      <x:c r="G77" s="4" t="str">
        <x:v>Builder design credit; may not describe later refit</x:v>
      </x:c>
      <x:c r="H77" s="4" t="str"/>
      <x:c r="I77" s="4" t="str">
        <x:v>B703</x:v>
      </x:c>
      <x:c r="J77" s="4" t="str">
        <x:v>https://www.oceancoyacht.com/fleet/wheels/</x:v>
      </x:c>
      <x:c r="K77" s="28" t="n">
        <x:v>46290</x:v>
      </x:c>
    </x:row>
    <x:row r="78" ht="69" customHeight="1">
      <x:c r="A78" s="20" t="str">
        <x:v>Y703</x:v>
      </x:c>
      <x:c r="B78" s="20" t="str">
        <x:v>Wheels</x:v>
      </x:c>
      <x:c r="C78" s="22" t="str">
        <x:v>1009388</x:v>
      </x:c>
      <x:c r="D78" s="4" t="str">
        <x:v>Main machinery (published wording)</x:v>
      </x:c>
      <x:c r="E78" s="4" t="str">
        <x:v>2 x MTU 3,655 hp (broker notation)</x:v>
      </x:c>
      <x:c r="F78" s="4" t="str"/>
      <x:c r="G78" s="4" t="str">
        <x:v>Published specification; not certificate-verified</x:v>
      </x:c>
      <x:c r="H78" s="4" t="str"/>
      <x:c r="I78" s="4" t="str">
        <x:v>FR703</x:v>
      </x:c>
      <x:c r="J78" s="4" t="str">
        <x:v>https://www.fraseryachts.com/en/yacht-for-charter/wheels/</x:v>
      </x:c>
      <x:c r="K78" s="28" t="n">
        <x:v>46290</x:v>
      </x:c>
    </x:row>
    <x:row r="79" ht="69" customHeight="1">
      <x:c r="A79" s="20" t="str">
        <x:v>Y703</x:v>
      </x:c>
      <x:c r="B79" s="20" t="str">
        <x:v>Wheels</x:v>
      </x:c>
      <x:c r="C79" s="22" t="str">
        <x:v>1009388</x:v>
      </x:c>
      <x:c r="D79" s="4" t="str">
        <x:v>Cruising speed</x:v>
      </x:c>
      <x:c r="E79" s="4" t="n">
        <x:v>15</x:v>
      </x:c>
      <x:c r="F79" s="4" t="str">
        <x:v>kn</x:v>
      </x:c>
      <x:c r="G79" s="4" t="str">
        <x:v>Published specification; not certificate-verified</x:v>
      </x:c>
      <x:c r="H79" s="4" t="str"/>
      <x:c r="I79" s="4" t="str">
        <x:v>FR703</x:v>
      </x:c>
      <x:c r="J79" s="4" t="str">
        <x:v>https://www.fraseryachts.com/en/yacht-for-charter/wheels/</x:v>
      </x:c>
      <x:c r="K79" s="28" t="n">
        <x:v>46290</x:v>
      </x:c>
    </x:row>
    <x:row r="80" ht="69" customHeight="1">
      <x:c r="A80" s="20" t="str">
        <x:v>Y703</x:v>
      </x:c>
      <x:c r="B80" s="20" t="str">
        <x:v>Wheels</x:v>
      </x:c>
      <x:c r="C80" s="22" t="str">
        <x:v>1009388</x:v>
      </x:c>
      <x:c r="D80" s="4" t="str">
        <x:v>Maximum motor speed</x:v>
      </x:c>
      <x:c r="E80" s="4" t="n">
        <x:v>18</x:v>
      </x:c>
      <x:c r="F80" s="4" t="str">
        <x:v>kn</x:v>
      </x:c>
      <x:c r="G80" s="4" t="str">
        <x:v>Published specification; not certificate-verified</x:v>
      </x:c>
      <x:c r="H80" s="4" t="str"/>
      <x:c r="I80" s="4" t="str">
        <x:v>FR703</x:v>
      </x:c>
      <x:c r="J80" s="4" t="str">
        <x:v>https://www.fraseryachts.com/en/yacht-for-charter/wheels/</x:v>
      </x:c>
      <x:c r="K80" s="28" t="n">
        <x:v>46290</x:v>
      </x:c>
    </x:row>
    <x:row r="81" ht="69" customHeight="1">
      <x:c r="A81" s="20" t="str">
        <x:v>Y703</x:v>
      </x:c>
      <x:c r="B81" s="20" t="str">
        <x:v>Wheels</x:v>
      </x:c>
      <x:c r="C81" s="22" t="str">
        <x:v>1009388</x:v>
      </x:c>
      <x:c r="D81" s="4" t="str">
        <x:v>Published range</x:v>
      </x:c>
      <x:c r="E81" s="4" t="n">
        <x:v>4500</x:v>
      </x:c>
      <x:c r="F81" s="4" t="str">
        <x:v>nm</x:v>
      </x:c>
      <x:c r="G81" s="4" t="str">
        <x:v>Published specification; not certificate-verified</x:v>
      </x:c>
      <x:c r="H81" s="4" t="str">
        <x:v>Range test speed not stated.</x:v>
      </x:c>
      <x:c r="I81" s="4" t="str">
        <x:v>FR703</x:v>
      </x:c>
      <x:c r="J81" s="4" t="str">
        <x:v>https://www.fraseryachts.com/en/yacht-for-charter/wheels/</x:v>
      </x:c>
      <x:c r="K81" s="28" t="n">
        <x:v>46290</x:v>
      </x:c>
    </x:row>
    <x:row r="82" ht="69" customHeight="1">
      <x:c r="A82" s="20" t="str">
        <x:v>Y703</x:v>
      </x:c>
      <x:c r="B82" s="20" t="str">
        <x:v>Wheels</x:v>
      </x:c>
      <x:c r="C82" s="22" t="str">
        <x:v>1009388</x:v>
      </x:c>
      <x:c r="D82" s="4" t="str">
        <x:v>Published guests</x:v>
      </x:c>
      <x:c r="E82" s="4" t="n">
        <x:v>12</x:v>
      </x:c>
      <x:c r="F82" s="4" t="str">
        <x:v>persons</x:v>
      </x:c>
      <x:c r="G82" s="4" t="str">
        <x:v>Published specification; not certificate-verified</x:v>
      </x:c>
      <x:c r="H82" s="4" t="str"/>
      <x:c r="I82" s="4" t="str">
        <x:v>FR703</x:v>
      </x:c>
      <x:c r="J82" s="4" t="str">
        <x:v>https://www.fraseryachts.com/en/yacht-for-charter/wheels/</x:v>
      </x:c>
      <x:c r="K82" s="28" t="n">
        <x:v>46290</x:v>
      </x:c>
    </x:row>
    <x:row r="83" ht="69" customHeight="1">
      <x:c r="A83" s="20" t="str">
        <x:v>Y703</x:v>
      </x:c>
      <x:c r="B83" s="20" t="str">
        <x:v>Wheels</x:v>
      </x:c>
      <x:c r="C83" s="22" t="str">
        <x:v>1009388</x:v>
      </x:c>
      <x:c r="D83" s="4" t="str">
        <x:v>Published guest cabins</x:v>
      </x:c>
      <x:c r="E83" s="4" t="n">
        <x:v>6</x:v>
      </x:c>
      <x:c r="F83" s="4" t="str">
        <x:v>cabins</x:v>
      </x:c>
      <x:c r="G83" s="4" t="str">
        <x:v>Published specification; not certificate-verified</x:v>
      </x:c>
      <x:c r="H83" s="4" t="str"/>
      <x:c r="I83" s="4" t="str">
        <x:v>FR703</x:v>
      </x:c>
      <x:c r="J83" s="4" t="str">
        <x:v>https://www.fraseryachts.com/en/yacht-for-charter/wheels/</x:v>
      </x:c>
      <x:c r="K83" s="28" t="n">
        <x:v>46290</x:v>
      </x:c>
    </x:row>
    <x:row r="84" ht="69" customHeight="1">
      <x:c r="A84" s="20" t="str">
        <x:v>Y703</x:v>
      </x:c>
      <x:c r="B84" s="20" t="str">
        <x:v>Wheels</x:v>
      </x:c>
      <x:c r="C84" s="22" t="str">
        <x:v>1009388</x:v>
      </x:c>
      <x:c r="D84" s="4" t="str">
        <x:v>Published crew</x:v>
      </x:c>
      <x:c r="E84" s="4" t="n">
        <x:v>21</x:v>
      </x:c>
      <x:c r="F84" s="4" t="str">
        <x:v>persons</x:v>
      </x:c>
      <x:c r="G84" s="4" t="str">
        <x:v>Published specification; not certificate-verified</x:v>
      </x:c>
      <x:c r="H84" s="4" t="str"/>
      <x:c r="I84" s="4" t="str">
        <x:v>FR703</x:v>
      </x:c>
      <x:c r="J84" s="4" t="str">
        <x:v>https://www.fraseryachts.com/en/yacht-for-charter/wheels/</x:v>
      </x:c>
      <x:c r="K84" s="28" t="n">
        <x:v>46290</x:v>
      </x:c>
    </x:row>
    <x:row r="85" ht="69" customHeight="1">
      <x:c r="A85" s="20" t="str">
        <x:v>Y703</x:v>
      </x:c>
      <x:c r="B85" s="20" t="str">
        <x:v>Wheels</x:v>
      </x:c>
      <x:c r="C85" s="22" t="str">
        <x:v>1009388</x:v>
      </x:c>
      <x:c r="D85" s="4" t="str">
        <x:v>Published class society</x:v>
      </x:c>
      <x:c r="E85" s="4" t="str">
        <x:v>Lloyd's Register</x:v>
      </x:c>
      <x:c r="F85" s="4" t="str"/>
      <x:c r="G85" s="4" t="str">
        <x:v>Published specification; not certificate-verified</x:v>
      </x:c>
      <x:c r="H85" s="4" t="str"/>
      <x:c r="I85" s="4" t="str">
        <x:v>FR703</x:v>
      </x:c>
      <x:c r="J85" s="4" t="str">
        <x:v>https://www.fraseryachts.com/en/yacht-for-charter/wheels/</x:v>
      </x:c>
      <x:c r="K85" s="28" t="n">
        <x:v>46290</x:v>
      </x:c>
    </x:row>
    <x:row r="86" ht="69" customHeight="1">
      <x:c r="A86" s="20" t="str">
        <x:v>Y703</x:v>
      </x:c>
      <x:c r="B86" s="20" t="str">
        <x:v>Wheels</x:v>
      </x:c>
      <x:c r="C86" s="22" t="str">
        <x:v>1009388</x:v>
      </x:c>
      <x:c r="D86" s="4" t="str">
        <x:v>Latest refit/rebuild identified</x:v>
      </x:c>
      <x:c r="E86" s="4" t="n">
        <x:v>2024</x:v>
      </x:c>
      <x:c r="F86" s="4" t="str">
        <x:v>year</x:v>
      </x:c>
      <x:c r="G86" s="4" t="str">
        <x:v>Published specification; not certificate-verified</x:v>
      </x:c>
      <x:c r="H86" s="4" t="str"/>
      <x:c r="I86" s="4" t="str">
        <x:v>FR703</x:v>
      </x:c>
      <x:c r="J86" s="4" t="str">
        <x:v>https://www.fraseryachts.com/en/yacht-for-charter/wheels/</x:v>
      </x:c>
      <x:c r="K86" s="28" t="n">
        <x:v>46290</x:v>
      </x:c>
    </x:row>
    <x:row r="87" ht="69" customHeight="1">
      <x:c r="A87" s="20" t="str">
        <x:v>Y703</x:v>
      </x:c>
      <x:c r="B87" s="20" t="str">
        <x:v>Wheels</x:v>
      </x:c>
      <x:c r="C87" s="22" t="str">
        <x:v>1009388</x:v>
      </x:c>
      <x:c r="D87" s="4" t="str">
        <x:v>Selected publicly described features</x:v>
      </x:c>
      <x:c r="E87" s="4" t="str">
        <x:v>Stabilisation at anchor and underway</x:v>
      </x:c>
      <x:c r="F87" s="4" t="str"/>
      <x:c r="G87" s="4" t="str">
        <x:v>Published specification; not certificate-verified</x:v>
      </x:c>
      <x:c r="H87" s="4" t="str"/>
      <x:c r="I87" s="4" t="str">
        <x:v>FR703</x:v>
      </x:c>
      <x:c r="J87" s="4" t="str">
        <x:v>https://www.fraseryachts.com/en/yacht-for-charter/wheels/</x:v>
      </x:c>
      <x:c r="K87" s="28" t="n">
        <x:v>46290</x:v>
      </x:c>
    </x:row>
    <x:row r="88" ht="69" customHeight="1">
      <x:c r="A88" s="20" t="str">
        <x:v>Y703</x:v>
      </x:c>
      <x:c r="B88" s="20" t="str">
        <x:v>Wheels</x:v>
      </x:c>
      <x:c r="C88" s="22" t="str">
        <x:v>1009388</x:v>
      </x:c>
      <x:c r="D88" s="4" t="str">
        <x:v>Broker beam</x:v>
      </x:c>
      <x:c r="E88" s="4" t="n">
        <x:v>13.49</x:v>
      </x:c>
      <x:c r="F88" s="4" t="str">
        <x:v>m</x:v>
      </x:c>
      <x:c r="G88" s="4" t="str">
        <x:v>Broker publication</x:v>
      </x:c>
      <x:c r="H88" s="4" t="str">
        <x:v>Builder 13.5m; database 13.38m.</x:v>
      </x:c>
      <x:c r="I88" s="4" t="str">
        <x:v>FR703</x:v>
      </x:c>
      <x:c r="J88" s="4" t="str">
        <x:v>https://www.fraseryachts.com/en/yacht-for-charter/wheels/</x:v>
      </x:c>
      <x:c r="K88" s="28" t="n">
        <x:v>46290</x:v>
      </x:c>
    </x:row>
    <x:row r="89" ht="69" customHeight="1">
      <x:c r="A89" s="20" t="str">
        <x:v>Y703</x:v>
      </x:c>
      <x:c r="B89" s="20" t="str">
        <x:v>Wheels</x:v>
      </x:c>
      <x:c r="C89" s="22" t="str">
        <x:v>1009388</x:v>
      </x:c>
      <x:c r="D89" s="4" t="str">
        <x:v>Generator specification</x:v>
      </x:c>
      <x:c r="E89" s="4" t="str">
        <x:v>3 x Caterpillar 360 kW</x:v>
      </x:c>
      <x:c r="F89" s="4" t="str"/>
      <x:c r="G89" s="4" t="str">
        <x:v>Broker publication</x:v>
      </x:c>
      <x:c r="H89" s="4" t="str">
        <x:v>Unit rating is as published.</x:v>
      </x:c>
      <x:c r="I89" s="4" t="str">
        <x:v>FR703</x:v>
      </x:c>
      <x:c r="J89" s="4" t="str">
        <x:v>https://www.fraseryachts.com/en/yacht-for-charter/wheels/</x:v>
      </x:c>
      <x:c r="K89" s="28" t="n">
        <x:v>46290</x:v>
      </x:c>
    </x:row>
    <x:row r="90" ht="69" customHeight="1">
      <x:c r="A90" s="20" t="str">
        <x:v>Y704</x:v>
      </x:c>
      <x:c r="B90" s="20" t="str">
        <x:v>Vibrant Curiosity</x:v>
      </x:c>
      <x:c r="C90" s="22" t="str">
        <x:v>1010002</x:v>
      </x:c>
      <x:c r="D90" s="4" t="str">
        <x:v>Yard code</x:v>
      </x:c>
      <x:c r="E90" s="4" t="str">
        <x:v>Y704</x:v>
      </x:c>
      <x:c r="F90" s="4" t="str"/>
      <x:c r="G90" s="4" t="str">
        <x:v>Public build-to-vessel cross-reference</x:v>
      </x:c>
      <x:c r="H90" s="4" t="str">
        <x:v>No builder certificate inspected.</x:v>
      </x:c>
      <x:c r="I90" s="4" t="str">
        <x:v>Y704</x:v>
      </x:c>
      <x:c r="J90" s="4" t="str">
        <x:v>https://www.shipspotting.com/photos/458681</x:v>
      </x:c>
      <x:c r="K90" s="28" t="n">
        <x:v>46290</x:v>
      </x:c>
    </x:row>
    <x:row r="91" ht="69" customHeight="1">
      <x:c r="A91" s="20" t="str">
        <x:v>Y704</x:v>
      </x:c>
      <x:c r="B91" s="20" t="str">
        <x:v>Vibrant Curiosity</x:v>
      </x:c>
      <x:c r="C91" s="22" t="str">
        <x:v>1010002</x:v>
      </x:c>
      <x:c r="D91" s="4" t="str">
        <x:v>Current published name</x:v>
      </x:c>
      <x:c r="E91" s="4" t="str">
        <x:v>Vibrant Curiosity</x:v>
      </x:c>
      <x:c r="F91" s="4" t="str"/>
      <x:c r="G91" s="4" t="str">
        <x:v>Builder fleet publication</x:v>
      </x:c>
      <x:c r="H91" s="4" t="str">
        <x:v>Name may change after retrieval.</x:v>
      </x:c>
      <x:c r="I91" s="4" t="str">
        <x:v>B704</x:v>
      </x:c>
      <x:c r="J91" s="4" t="str">
        <x:v>https://www.oceancoyacht.com/fleet/vibrant-curiosity/</x:v>
      </x:c>
      <x:c r="K91" s="28" t="n">
        <x:v>46290</x:v>
      </x:c>
    </x:row>
    <x:row r="92" ht="69" customHeight="1">
      <x:c r="A92" s="20" t="str">
        <x:v>Y704</x:v>
      </x:c>
      <x:c r="B92" s="20" t="str">
        <x:v>Vibrant Curiosity</x:v>
      </x:c>
      <x:c r="C92" s="22" t="str">
        <x:v>1010002</x:v>
      </x:c>
      <x:c r="D92" s="4" t="str">
        <x:v>Delivered</x:v>
      </x:c>
      <x:c r="E92" s="4" t="n">
        <x:v>2009</x:v>
      </x:c>
      <x:c r="F92" s="4" t="str">
        <x:v>year</x:v>
      </x:c>
      <x:c r="G92" s="4" t="str">
        <x:v>Builder delivery year</x:v>
      </x:c>
      <x:c r="H92" s="4" t="str">
        <x:v>Do not equate with keel-laying or launch year.</x:v>
      </x:c>
      <x:c r="I92" s="4" t="str">
        <x:v>B704</x:v>
      </x:c>
      <x:c r="J92" s="4" t="str">
        <x:v>https://www.oceancoyacht.com/fleet/vibrant-curiosity/</x:v>
      </x:c>
      <x:c r="K92" s="28" t="n">
        <x:v>46290</x:v>
      </x:c>
    </x:row>
    <x:row r="93" ht="69" customHeight="1">
      <x:c r="A93" s="20" t="str">
        <x:v>Y704</x:v>
      </x:c>
      <x:c r="B93" s="20" t="str">
        <x:v>Vibrant Curiosity</x:v>
      </x:c>
      <x:c r="C93" s="22" t="str">
        <x:v>1010002</x:v>
      </x:c>
      <x:c r="D93" s="4" t="str">
        <x:v>IMO</x:v>
      </x:c>
      <x:c r="E93" s="4" t="str">
        <x:v>1010002</x:v>
      </x:c>
      <x:c r="F93" s="4" t="str"/>
      <x:c r="G93" s="4" t="str">
        <x:v>Database static vessel particulars</x:v>
      </x:c>
      <x:c r="H93" s="4" t="str">
        <x:v>Checksum passed; checksum does not independently confirm identity.</x:v>
      </x:c>
      <x:c r="I93" s="4" t="str">
        <x:v>V704</x:v>
      </x:c>
      <x:c r="J93" s="4" t="str">
        <x:v>https://www.vesselfinder.com/vessels/details/1010002</x:v>
      </x:c>
      <x:c r="K93" s="28" t="n">
        <x:v>46290</x:v>
      </x:c>
    </x:row>
    <x:row r="94" ht="69" customHeight="1">
      <x:c r="A94" s="20" t="str">
        <x:v>Y704</x:v>
      </x:c>
      <x:c r="B94" s="20" t="str">
        <x:v>Vibrant Curiosity</x:v>
      </x:c>
      <x:c r="C94" s="22" t="str">
        <x:v>1010002</x:v>
      </x:c>
      <x:c r="D94" s="4" t="str">
        <x:v>MMSI</x:v>
      </x:c>
      <x:c r="E94" s="4" t="str">
        <x:v>248983000</x:v>
      </x:c>
      <x:c r="F94" s="4" t="str"/>
      <x:c r="G94" s="4" t="str">
        <x:v>Published radio identity</x:v>
      </x:c>
      <x:c r="H94" s="4" t="str">
        <x:v>Call sign supplemented from MarineTraffic; use IMO match, not legacy MMSI embedded in URL.</x:v>
      </x:c>
      <x:c r="I94" s="4" t="str">
        <x:v>V704</x:v>
      </x:c>
      <x:c r="J94" s="4" t="str">
        <x:v>https://www.vesselfinder.com/vessels/details/1010002</x:v>
      </x:c>
      <x:c r="K94" s="28" t="n">
        <x:v>46290</x:v>
      </x:c>
    </x:row>
    <x:row r="95" ht="69" customHeight="1">
      <x:c r="A95" s="20" t="str">
        <x:v>Y704</x:v>
      </x:c>
      <x:c r="B95" s="20" t="str">
        <x:v>Vibrant Curiosity</x:v>
      </x:c>
      <x:c r="C95" s="22" t="str">
        <x:v>1010002</x:v>
      </x:c>
      <x:c r="D95" s="4" t="str">
        <x:v>Call sign</x:v>
      </x:c>
      <x:c r="E95" s="4" t="str">
        <x:v>9HA4898</x:v>
      </x:c>
      <x:c r="F95" s="4" t="str"/>
      <x:c r="G95" s="4" t="str">
        <x:v>Published radio identity</x:v>
      </x:c>
      <x:c r="H95" s="4" t="str">
        <x:v>Call sign supplemented from MarineTraffic; use IMO match, not legacy MMSI embedded in URL.</x:v>
      </x:c>
      <x:c r="I95" s="4" t="str">
        <x:v>MT704</x:v>
      </x:c>
      <x:c r="J95" s="4" t="str">
        <x:v>https://www.marinetraffic.com/es/ais/details/ships/shipid%3A194250/mmsi%3A235068366/imo%3A1010002/vessel%3AVIBRANT%20CURIOSITY</x:v>
      </x:c>
      <x:c r="K95" s="28" t="n">
        <x:v>46290</x:v>
      </x:c>
    </x:row>
    <x:row r="96" ht="69" customHeight="1">
      <x:c r="A96" s="20" t="str">
        <x:v>Y704</x:v>
      </x:c>
      <x:c r="B96" s="20" t="str">
        <x:v>Vibrant Curiosity</x:v>
      </x:c>
      <x:c r="C96" s="22" t="str">
        <x:v>1010002</x:v>
      </x:c>
      <x:c r="D96" s="4" t="str">
        <x:v>Flag</x:v>
      </x:c>
      <x:c r="E96" s="4" t="str">
        <x:v>Malta</x:v>
      </x:c>
      <x:c r="F96" s="4" t="str"/>
      <x:c r="G96" s="4" t="str">
        <x:v>Published flag / AIS identity</x:v>
      </x:c>
      <x:c r="H96" s="4" t="str">
        <x:v>Call sign supplemented from MarineTraffic; use IMO match, not legacy MMSI embedded in URL.</x:v>
      </x:c>
      <x:c r="I96" s="4" t="str">
        <x:v>V704</x:v>
      </x:c>
      <x:c r="J96" s="4" t="str">
        <x:v>https://www.vesselfinder.com/vessels/details/1010002</x:v>
      </x:c>
      <x:c r="K96" s="28" t="n">
        <x:v>46290</x:v>
      </x:c>
    </x:row>
    <x:row r="97" ht="69" customHeight="1">
      <x:c r="A97" s="20" t="str">
        <x:v>Y704</x:v>
      </x:c>
      <x:c r="B97" s="20" t="str">
        <x:v>Vibrant Curiosity</x:v>
      </x:c>
      <x:c r="C97" s="22" t="str">
        <x:v>1010002</x:v>
      </x:c>
      <x:c r="D97" s="4" t="str">
        <x:v>Preferred published LOA</x:v>
      </x:c>
      <x:c r="E97" s="4" t="n">
        <x:v>85.5</x:v>
      </x:c>
      <x:c r="F97" s="4" t="str">
        <x:v>m</x:v>
      </x:c>
      <x:c r="G97" s="4" t="str">
        <x:v>Builder published overall length</x:v>
      </x:c>
      <x:c r="H97" s="4" t="str">
        <x:v>Not independently measured or certificate-verified.</x:v>
      </x:c>
      <x:c r="I97" s="4" t="str">
        <x:v>B704</x:v>
      </x:c>
      <x:c r="J97" s="4" t="str">
        <x:v>https://www.oceancoyacht.com/fleet/vibrant-curiosity/</x:v>
      </x:c>
      <x:c r="K97" s="28" t="n">
        <x:v>46290</x:v>
      </x:c>
    </x:row>
    <x:row r="98" ht="69" customHeight="1">
      <x:c r="A98" s="20" t="str">
        <x:v>Y704</x:v>
      </x:c>
      <x:c r="B98" s="20" t="str">
        <x:v>Vibrant Curiosity</x:v>
      </x:c>
      <x:c r="C98" s="22" t="str">
        <x:v>1010002</x:v>
      </x:c>
      <x:c r="D98" s="4" t="str">
        <x:v>Preferred published beam</x:v>
      </x:c>
      <x:c r="E98" s="4" t="n">
        <x:v>14.2</x:v>
      </x:c>
      <x:c r="F98" s="4" t="str">
        <x:v>m</x:v>
      </x:c>
      <x:c r="G98" s="4" t="str">
        <x:v>Builder published overall beam</x:v>
      </x:c>
      <x:c r="H98" s="4" t="str">
        <x:v>Not moulded breadth unless source explicitly says so.</x:v>
      </x:c>
      <x:c r="I98" s="4" t="str">
        <x:v>B704</x:v>
      </x:c>
      <x:c r="J98" s="4" t="str">
        <x:v>https://www.oceancoyacht.com/fleet/vibrant-curiosity/</x:v>
      </x:c>
      <x:c r="K98" s="28" t="n">
        <x:v>46290</x:v>
      </x:c>
    </x:row>
    <x:row r="99" ht="69" customHeight="1">
      <x:c r="A99" s="20" t="str">
        <x:v>Y704</x:v>
      </x:c>
      <x:c r="B99" s="20" t="str">
        <x:v>Vibrant Curiosity</x:v>
      </x:c>
      <x:c r="C99" s="22" t="str">
        <x:v>1010002</x:v>
      </x:c>
      <x:c r="D99" s="4" t="str">
        <x:v>Working gross tonnage</x:v>
      </x:c>
      <x:c r="E99" s="4" t="n">
        <x:v>2822</x:v>
      </x:c>
      <x:c r="F99" s="4" t="str">
        <x:v>GT</x:v>
      </x:c>
      <x:c r="G99" s="4" t="str">
        <x:v>Database static GT</x:v>
      </x:c>
      <x:c r="H99" s="4" t="str">
        <x:v>GT is not mass/displacement.</x:v>
      </x:c>
      <x:c r="I99" s="4" t="str">
        <x:v>V704</x:v>
      </x:c>
      <x:c r="J99" s="4" t="str">
        <x:v>https://www.vesselfinder.com/vessels/details/1010002</x:v>
      </x:c>
      <x:c r="K99" s="28" t="n">
        <x:v>46290</x:v>
      </x:c>
    </x:row>
    <x:row r="100" ht="69" customHeight="1">
      <x:c r="A100" s="20" t="str">
        <x:v>Y704</x:v>
      </x:c>
      <x:c r="B100" s="20" t="str">
        <x:v>Vibrant Curiosity</x:v>
      </x:c>
      <x:c r="C100" s="22" t="str">
        <x:v>1010002</x:v>
      </x:c>
      <x:c r="D100" s="4" t="str">
        <x:v>Database static LOA</x:v>
      </x:c>
      <x:c r="E100" s="4" t="n">
        <x:v>85.43</x:v>
      </x:c>
      <x:c r="F100" s="4" t="str">
        <x:v>m</x:v>
      </x:c>
      <x:c r="G100" s="4" t="str">
        <x:v>Database static specification, not AIS dimensions</x:v>
      </x:c>
      <x:c r="H100" s="4" t="str">
        <x:v>Builder 85.5 x 14.2m; database 85.43 x 13.8m.</x:v>
      </x:c>
      <x:c r="I100" s="4" t="str">
        <x:v>V704</x:v>
      </x:c>
      <x:c r="J100" s="4" t="str">
        <x:v>https://www.vesselfinder.com/vessels/details/1010002</x:v>
      </x:c>
      <x:c r="K100" s="28" t="n">
        <x:v>46290</x:v>
      </x:c>
    </x:row>
    <x:row r="101" ht="69" customHeight="1">
      <x:c r="A101" s="20" t="str">
        <x:v>Y704</x:v>
      </x:c>
      <x:c r="B101" s="20" t="str">
        <x:v>Vibrant Curiosity</x:v>
      </x:c>
      <x:c r="C101" s="22" t="str">
        <x:v>1010002</x:v>
      </x:c>
      <x:c r="D101" s="4" t="str">
        <x:v>Database static beam</x:v>
      </x:c>
      <x:c r="E101" s="4" t="n">
        <x:v>13.8</x:v>
      </x:c>
      <x:c r="F101" s="4" t="str">
        <x:v>m</x:v>
      </x:c>
      <x:c r="G101" s="4" t="str">
        <x:v>Database static specification, not AIS dimensions</x:v>
      </x:c>
      <x:c r="H101" s="4" t="str">
        <x:v>Builder 85.5 x 14.2m; database 85.43 x 13.8m.</x:v>
      </x:c>
      <x:c r="I101" s="4" t="str">
        <x:v>V704</x:v>
      </x:c>
      <x:c r="J101" s="4" t="str">
        <x:v>https://www.vesselfinder.com/vessels/details/1010002</x:v>
      </x:c>
      <x:c r="K101" s="28" t="n">
        <x:v>46290</x:v>
      </x:c>
    </x:row>
    <x:row r="102" ht="69" customHeight="1">
      <x:c r="A102" s="20" t="str">
        <x:v>Y704</x:v>
      </x:c>
      <x:c r="B102" s="20" t="str">
        <x:v>Vibrant Curiosity</x:v>
      </x:c>
      <x:c r="C102" s="22" t="str">
        <x:v>1010002</x:v>
      </x:c>
      <x:c r="D102" s="4" t="str">
        <x:v>Database static GT</x:v>
      </x:c>
      <x:c r="E102" s="4" t="n">
        <x:v>2822</x:v>
      </x:c>
      <x:c r="F102" s="4" t="str">
        <x:v>GT</x:v>
      </x:c>
      <x:c r="G102" s="4" t="str">
        <x:v>Database static specification</x:v>
      </x:c>
      <x:c r="H102" s="4" t="str">
        <x:v>Not a current International Tonnage Certificate.</x:v>
      </x:c>
      <x:c r="I102" s="4" t="str">
        <x:v>V704</x:v>
      </x:c>
      <x:c r="J102" s="4" t="str">
        <x:v>https://www.vesselfinder.com/vessels/details/1010002</x:v>
      </x:c>
      <x:c r="K102" s="28" t="n">
        <x:v>46290</x:v>
      </x:c>
    </x:row>
    <x:row r="103" ht="69" customHeight="1">
      <x:c r="A103" s="20" t="str">
        <x:v>Y704</x:v>
      </x:c>
      <x:c r="B103" s="20" t="str">
        <x:v>Vibrant Curiosity</x:v>
      </x:c>
      <x:c r="C103" s="22" t="str">
        <x:v>1010002</x:v>
      </x:c>
      <x:c r="D103" s="4" t="str">
        <x:v>Exterior design</x:v>
      </x:c>
      <x:c r="E103" s="4" t="str">
        <x:v>Nuvolari Lenard</x:v>
      </x:c>
      <x:c r="F103" s="4" t="str"/>
      <x:c r="G103" s="4" t="str">
        <x:v>Builder design credit; original build unless expressly noted</x:v>
      </x:c>
      <x:c r="H103" s="4" t="str"/>
      <x:c r="I103" s="4" t="str">
        <x:v>B704</x:v>
      </x:c>
      <x:c r="J103" s="4" t="str">
        <x:v>https://www.oceancoyacht.com/fleet/vibrant-curiosity/</x:v>
      </x:c>
      <x:c r="K103" s="28" t="n">
        <x:v>46290</x:v>
      </x:c>
    </x:row>
    <x:row r="104" ht="69" customHeight="1">
      <x:c r="A104" s="20" t="str">
        <x:v>Y704</x:v>
      </x:c>
      <x:c r="B104" s="20" t="str">
        <x:v>Vibrant Curiosity</x:v>
      </x:c>
      <x:c r="C104" s="22" t="str">
        <x:v>1010002</x:v>
      </x:c>
      <x:c r="D104" s="4" t="str">
        <x:v>Interior design</x:v>
      </x:c>
      <x:c r="E104" s="4" t="str">
        <x:v>Nuvolari Lenard</x:v>
      </x:c>
      <x:c r="F104" s="4" t="str"/>
      <x:c r="G104" s="4" t="str">
        <x:v>Builder design credit; may not describe later refit</x:v>
      </x:c>
      <x:c r="H104" s="4" t="str"/>
      <x:c r="I104" s="4" t="str">
        <x:v>B704</x:v>
      </x:c>
      <x:c r="J104" s="4" t="str">
        <x:v>https://www.oceancoyacht.com/fleet/vibrant-curiosity/</x:v>
      </x:c>
      <x:c r="K104" s="28" t="n">
        <x:v>46290</x:v>
      </x:c>
    </x:row>
    <x:row r="105" ht="69" customHeight="1">
      <x:c r="A105" s="20" t="str">
        <x:v>Y704</x:v>
      </x:c>
      <x:c r="B105" s="20" t="str">
        <x:v>Vibrant Curiosity</x:v>
      </x:c>
      <x:c r="C105" s="22" t="str">
        <x:v>1010002</x:v>
      </x:c>
      <x:c r="D105" s="4" t="str">
        <x:v>Published range</x:v>
      </x:c>
      <x:c r="E105" s="4" t="n">
        <x:v>5500</x:v>
      </x:c>
      <x:c r="F105" s="4" t="str">
        <x:v>nm</x:v>
      </x:c>
      <x:c r="G105" s="4" t="str">
        <x:v>Published specification; not certificate-verified</x:v>
      </x:c>
      <x:c r="H105" s="4" t="str">
        <x:v>Range speed/load basis not stated.</x:v>
      </x:c>
      <x:c r="I105" s="4" t="str">
        <x:v>B704</x:v>
      </x:c>
      <x:c r="J105" s="4" t="str">
        <x:v>https://www.oceancoyacht.com/fleet/vibrant-curiosity/</x:v>
      </x:c>
      <x:c r="K105" s="28" t="n">
        <x:v>46290</x:v>
      </x:c>
    </x:row>
    <x:row r="106" ht="69" customHeight="1">
      <x:c r="A106" s="20" t="str">
        <x:v>Y705</x:v>
      </x:c>
      <x:c r="B106" s="20" t="str">
        <x:v>Sunrays</x:v>
      </x:c>
      <x:c r="C106" s="22" t="str">
        <x:v>1010351</x:v>
      </x:c>
      <x:c r="D106" s="4" t="str">
        <x:v>Yard code</x:v>
      </x:c>
      <x:c r="E106" s="4" t="str">
        <x:v>Y705</x:v>
      </x:c>
      <x:c r="F106" s="4" t="str"/>
      <x:c r="G106" s="4" t="str">
        <x:v>Public build-to-vessel cross-reference</x:v>
      </x:c>
      <x:c r="H106" s="4" t="str">
        <x:v>No builder certificate inspected.</x:v>
      </x:c>
      <x:c r="I106" s="4" t="str">
        <x:v>Y705</x:v>
      </x:c>
      <x:c r="J106" s="4" t="str">
        <x:v>https://www.shipspotting.com/photos/2927955</x:v>
      </x:c>
      <x:c r="K106" s="28" t="n">
        <x:v>46290</x:v>
      </x:c>
    </x:row>
    <x:row r="107" ht="69" customHeight="1">
      <x:c r="A107" s="20" t="str">
        <x:v>Y705</x:v>
      </x:c>
      <x:c r="B107" s="20" t="str">
        <x:v>Sunrays</x:v>
      </x:c>
      <x:c r="C107" s="22" t="str">
        <x:v>1010351</x:v>
      </x:c>
      <x:c r="D107" s="4" t="str">
        <x:v>Current published name</x:v>
      </x:c>
      <x:c r="E107" s="4" t="str">
        <x:v>Sunrays</x:v>
      </x:c>
      <x:c r="F107" s="4" t="str"/>
      <x:c r="G107" s="4" t="str">
        <x:v>Builder fleet publication</x:v>
      </x:c>
      <x:c r="H107" s="4" t="str">
        <x:v>Name may change after retrieval.</x:v>
      </x:c>
      <x:c r="I107" s="4" t="str">
        <x:v>B705</x:v>
      </x:c>
      <x:c r="J107" s="4" t="str">
        <x:v>https://www.oceancoyacht.com/fleet/sunrays/</x:v>
      </x:c>
      <x:c r="K107" s="28" t="n">
        <x:v>46290</x:v>
      </x:c>
    </x:row>
    <x:row r="108" ht="69" customHeight="1">
      <x:c r="A108" s="20" t="str">
        <x:v>Y705</x:v>
      </x:c>
      <x:c r="B108" s="20" t="str">
        <x:v>Sunrays</x:v>
      </x:c>
      <x:c r="C108" s="22" t="str">
        <x:v>1010351</x:v>
      </x:c>
      <x:c r="D108" s="4" t="str">
        <x:v>Delivered</x:v>
      </x:c>
      <x:c r="E108" s="4" t="n">
        <x:v>2010</x:v>
      </x:c>
      <x:c r="F108" s="4" t="str">
        <x:v>year</x:v>
      </x:c>
      <x:c r="G108" s="4" t="str">
        <x:v>Builder delivery year</x:v>
      </x:c>
      <x:c r="H108" s="4" t="str">
        <x:v>Do not equate with keel-laying or launch year.</x:v>
      </x:c>
      <x:c r="I108" s="4" t="str">
        <x:v>B705</x:v>
      </x:c>
      <x:c r="J108" s="4" t="str">
        <x:v>https://www.oceancoyacht.com/fleet/sunrays/</x:v>
      </x:c>
      <x:c r="K108" s="28" t="n">
        <x:v>46290</x:v>
      </x:c>
    </x:row>
    <x:row r="109" ht="69" customHeight="1">
      <x:c r="A109" s="20" t="str">
        <x:v>Y705</x:v>
      </x:c>
      <x:c r="B109" s="20" t="str">
        <x:v>Sunrays</x:v>
      </x:c>
      <x:c r="C109" s="22" t="str">
        <x:v>1010351</x:v>
      </x:c>
      <x:c r="D109" s="4" t="str">
        <x:v>IMO</x:v>
      </x:c>
      <x:c r="E109" s="4" t="str">
        <x:v>1010351</x:v>
      </x:c>
      <x:c r="F109" s="4" t="str"/>
      <x:c r="G109" s="4" t="str">
        <x:v>Database static vessel particulars</x:v>
      </x:c>
      <x:c r="H109" s="4" t="str">
        <x:v>Checksum passed; checksum does not independently confirm identity.</x:v>
      </x:c>
      <x:c r="I109" s="4" t="str">
        <x:v>V705</x:v>
      </x:c>
      <x:c r="J109" s="4" t="str">
        <x:v>https://www.vesselfinder.com/vessels/details/1010351</x:v>
      </x:c>
      <x:c r="K109" s="28" t="n">
        <x:v>46290</x:v>
      </x:c>
    </x:row>
    <x:row r="110" ht="69" customHeight="1">
      <x:c r="A110" s="20" t="str">
        <x:v>Y705</x:v>
      </x:c>
      <x:c r="B110" s="20" t="str">
        <x:v>Sunrays</x:v>
      </x:c>
      <x:c r="C110" s="22" t="str">
        <x:v>1010351</x:v>
      </x:c>
      <x:c r="D110" s="4" t="str">
        <x:v>MMSI</x:v>
      </x:c>
      <x:c r="E110" s="4" t="str">
        <x:v>319015100</x:v>
      </x:c>
      <x:c r="F110" s="4" t="str"/>
      <x:c r="G110" s="4" t="str">
        <x:v>Published radio identity</x:v>
      </x:c>
      <x:c r="H110" s="4" t="str">
        <x:v>Published database identity; current registry/radio licence not inspected.</x:v>
      </x:c>
      <x:c r="I110" s="4" t="str">
        <x:v>V705</x:v>
      </x:c>
      <x:c r="J110" s="4" t="str">
        <x:v>https://www.vesselfinder.com/vessels/details/1010351</x:v>
      </x:c>
      <x:c r="K110" s="28" t="n">
        <x:v>46290</x:v>
      </x:c>
    </x:row>
    <x:row r="111" ht="69" customHeight="1">
      <x:c r="A111" s="20" t="str">
        <x:v>Y705</x:v>
      </x:c>
      <x:c r="B111" s="20" t="str">
        <x:v>Sunrays</x:v>
      </x:c>
      <x:c r="C111" s="22" t="str">
        <x:v>1010351</x:v>
      </x:c>
      <x:c r="D111" s="4" t="str">
        <x:v>Call sign</x:v>
      </x:c>
      <x:c r="E111" s="4" t="str">
        <x:v>ZGAF2</x:v>
      </x:c>
      <x:c r="F111" s="4" t="str"/>
      <x:c r="G111" s="4" t="str">
        <x:v>Published radio identity</x:v>
      </x:c>
      <x:c r="H111" s="4" t="str">
        <x:v>Published database identity; current registry/radio licence not inspected.</x:v>
      </x:c>
      <x:c r="I111" s="4" t="str">
        <x:v>V705</x:v>
      </x:c>
      <x:c r="J111" s="4" t="str">
        <x:v>https://www.vesselfinder.com/vessels/details/1010351</x:v>
      </x:c>
      <x:c r="K111" s="28" t="n">
        <x:v>46290</x:v>
      </x:c>
    </x:row>
    <x:row r="112" ht="69" customHeight="1">
      <x:c r="A112" s="20" t="str">
        <x:v>Y705</x:v>
      </x:c>
      <x:c r="B112" s="20" t="str">
        <x:v>Sunrays</x:v>
      </x:c>
      <x:c r="C112" s="22" t="str">
        <x:v>1010351</x:v>
      </x:c>
      <x:c r="D112" s="4" t="str">
        <x:v>Flag</x:v>
      </x:c>
      <x:c r="E112" s="4" t="str">
        <x:v>Cayman Islands</x:v>
      </x:c>
      <x:c r="F112" s="4" t="str"/>
      <x:c r="G112" s="4" t="str">
        <x:v>Published flag / AIS identity</x:v>
      </x:c>
      <x:c r="H112" s="4" t="str">
        <x:v>Published database identity; current registry/radio licence not inspected.</x:v>
      </x:c>
      <x:c r="I112" s="4" t="str">
        <x:v>V705</x:v>
      </x:c>
      <x:c r="J112" s="4" t="str">
        <x:v>https://www.vesselfinder.com/vessels/details/1010351</x:v>
      </x:c>
      <x:c r="K112" s="28" t="n">
        <x:v>46290</x:v>
      </x:c>
    </x:row>
    <x:row r="113" ht="69" customHeight="1">
      <x:c r="A113" s="20" t="str">
        <x:v>Y705</x:v>
      </x:c>
      <x:c r="B113" s="20" t="str">
        <x:v>Sunrays</x:v>
      </x:c>
      <x:c r="C113" s="22" t="str">
        <x:v>1010351</x:v>
      </x:c>
      <x:c r="D113" s="4" t="str">
        <x:v>Preferred published LOA</x:v>
      </x:c>
      <x:c r="E113" s="4" t="n">
        <x:v>85.5</x:v>
      </x:c>
      <x:c r="F113" s="4" t="str">
        <x:v>m</x:v>
      </x:c>
      <x:c r="G113" s="4" t="str">
        <x:v>Builder published overall length</x:v>
      </x:c>
      <x:c r="H113" s="4" t="str">
        <x:v>Not independently measured or certificate-verified.</x:v>
      </x:c>
      <x:c r="I113" s="4" t="str">
        <x:v>B705</x:v>
      </x:c>
      <x:c r="J113" s="4" t="str">
        <x:v>https://www.oceancoyacht.com/fleet/sunrays/</x:v>
      </x:c>
      <x:c r="K113" s="28" t="n">
        <x:v>46290</x:v>
      </x:c>
    </x:row>
    <x:row r="114" ht="69" customHeight="1">
      <x:c r="A114" s="20" t="str">
        <x:v>Y705</x:v>
      </x:c>
      <x:c r="B114" s="20" t="str">
        <x:v>Sunrays</x:v>
      </x:c>
      <x:c r="C114" s="22" t="str">
        <x:v>1010351</x:v>
      </x:c>
      <x:c r="D114" s="4" t="str">
        <x:v>Preferred published beam</x:v>
      </x:c>
      <x:c r="E114" s="4" t="n">
        <x:v>14.2</x:v>
      </x:c>
      <x:c r="F114" s="4" t="str">
        <x:v>m</x:v>
      </x:c>
      <x:c r="G114" s="4" t="str">
        <x:v>Builder published overall beam</x:v>
      </x:c>
      <x:c r="H114" s="4" t="str">
        <x:v>Not moulded breadth unless source explicitly says so.</x:v>
      </x:c>
      <x:c r="I114" s="4" t="str">
        <x:v>B705</x:v>
      </x:c>
      <x:c r="J114" s="4" t="str">
        <x:v>https://www.oceancoyacht.com/fleet/sunrays/</x:v>
      </x:c>
      <x:c r="K114" s="28" t="n">
        <x:v>46290</x:v>
      </x:c>
    </x:row>
    <x:row r="115" ht="69" customHeight="1">
      <x:c r="A115" s="20" t="str">
        <x:v>Y705</x:v>
      </x:c>
      <x:c r="B115" s="20" t="str">
        <x:v>Sunrays</x:v>
      </x:c>
      <x:c r="C115" s="22" t="str">
        <x:v>1010351</x:v>
      </x:c>
      <x:c r="D115" s="4" t="str">
        <x:v>Working gross tonnage</x:v>
      </x:c>
      <x:c r="E115" s="4" t="n">
        <x:v>2867</x:v>
      </x:c>
      <x:c r="F115" s="4" t="str">
        <x:v>GT</x:v>
      </x:c>
      <x:c r="G115" s="4" t="str">
        <x:v>Database static GT</x:v>
      </x:c>
      <x:c r="H115" s="4" t="str">
        <x:v>GT is not mass/displacement.</x:v>
      </x:c>
      <x:c r="I115" s="4" t="str">
        <x:v>V705</x:v>
      </x:c>
      <x:c r="J115" s="4" t="str">
        <x:v>https://www.vesselfinder.com/vessels/details/1010351</x:v>
      </x:c>
      <x:c r="K115" s="28" t="n">
        <x:v>46290</x:v>
      </x:c>
    </x:row>
    <x:row r="116" ht="69" customHeight="1">
      <x:c r="A116" s="20" t="str">
        <x:v>Y705</x:v>
      </x:c>
      <x:c r="B116" s="20" t="str">
        <x:v>Sunrays</x:v>
      </x:c>
      <x:c r="C116" s="22" t="str">
        <x:v>1010351</x:v>
      </x:c>
      <x:c r="D116" s="4" t="str">
        <x:v>Database static LOA</x:v>
      </x:c>
      <x:c r="E116" s="4" t="n">
        <x:v>85.43</x:v>
      </x:c>
      <x:c r="F116" s="4" t="str">
        <x:v>m</x:v>
      </x:c>
      <x:c r="G116" s="4" t="str">
        <x:v>Database static specification, not AIS dimensions</x:v>
      </x:c>
      <x:c r="H116" s="4" t="str">
        <x:v>Builder beam 14.2m; Edmiston 13.8m; database 14.24m.</x:v>
      </x:c>
      <x:c r="I116" s="4" t="str">
        <x:v>V705</x:v>
      </x:c>
      <x:c r="J116" s="4" t="str">
        <x:v>https://www.vesselfinder.com/vessels/details/1010351</x:v>
      </x:c>
      <x:c r="K116" s="28" t="n">
        <x:v>46290</x:v>
      </x:c>
    </x:row>
    <x:row r="117" ht="69" customHeight="1">
      <x:c r="A117" s="20" t="str">
        <x:v>Y705</x:v>
      </x:c>
      <x:c r="B117" s="20" t="str">
        <x:v>Sunrays</x:v>
      </x:c>
      <x:c r="C117" s="22" t="str">
        <x:v>1010351</x:v>
      </x:c>
      <x:c r="D117" s="4" t="str">
        <x:v>Database static beam</x:v>
      </x:c>
      <x:c r="E117" s="4" t="n">
        <x:v>14.24</x:v>
      </x:c>
      <x:c r="F117" s="4" t="str">
        <x:v>m</x:v>
      </x:c>
      <x:c r="G117" s="4" t="str">
        <x:v>Database static specification, not AIS dimensions</x:v>
      </x:c>
      <x:c r="H117" s="4" t="str">
        <x:v>Builder beam 14.2m; Edmiston 13.8m; database 14.24m.</x:v>
      </x:c>
      <x:c r="I117" s="4" t="str">
        <x:v>V705</x:v>
      </x:c>
      <x:c r="J117" s="4" t="str">
        <x:v>https://www.vesselfinder.com/vessels/details/1010351</x:v>
      </x:c>
      <x:c r="K117" s="28" t="n">
        <x:v>46290</x:v>
      </x:c>
    </x:row>
    <x:row r="118" ht="69" customHeight="1">
      <x:c r="A118" s="20" t="str">
        <x:v>Y705</x:v>
      </x:c>
      <x:c r="B118" s="20" t="str">
        <x:v>Sunrays</x:v>
      </x:c>
      <x:c r="C118" s="22" t="str">
        <x:v>1010351</x:v>
      </x:c>
      <x:c r="D118" s="4" t="str">
        <x:v>Database static GT</x:v>
      </x:c>
      <x:c r="E118" s="4" t="n">
        <x:v>2867</x:v>
      </x:c>
      <x:c r="F118" s="4" t="str">
        <x:v>GT</x:v>
      </x:c>
      <x:c r="G118" s="4" t="str">
        <x:v>Database static specification</x:v>
      </x:c>
      <x:c r="H118" s="4" t="str">
        <x:v>Not a current International Tonnage Certificate.</x:v>
      </x:c>
      <x:c r="I118" s="4" t="str">
        <x:v>V705</x:v>
      </x:c>
      <x:c r="J118" s="4" t="str">
        <x:v>https://www.vesselfinder.com/vessels/details/1010351</x:v>
      </x:c>
      <x:c r="K118" s="28" t="n">
        <x:v>46290</x:v>
      </x:c>
    </x:row>
    <x:row r="119" ht="69" customHeight="1">
      <x:c r="A119" s="20" t="str">
        <x:v>Y705</x:v>
      </x:c>
      <x:c r="B119" s="20" t="str">
        <x:v>Sunrays</x:v>
      </x:c>
      <x:c r="C119" s="22" t="str">
        <x:v>1010351</x:v>
      </x:c>
      <x:c r="D119" s="4" t="str">
        <x:v>Published draft</x:v>
      </x:c>
      <x:c r="E119" s="4" t="n">
        <x:v>3.95</x:v>
      </x:c>
      <x:c r="F119" s="4" t="str">
        <x:v>m</x:v>
      </x:c>
      <x:c r="G119" s="4" t="str">
        <x:v>Published specification; not certificate-verified</x:v>
      </x:c>
      <x:c r="H119" s="4" t="str">
        <x:v>Published draft; design/max draft basis not stated.</x:v>
      </x:c>
      <x:c r="I119" s="4" t="str">
        <x:v>ED705</x:v>
      </x:c>
      <x:c r="J119" s="4" t="str">
        <x:v>https://www.edmiston.com/50/sunrays-yacht-charter/</x:v>
      </x:c>
      <x:c r="K119" s="28" t="n">
        <x:v>46290</x:v>
      </x:c>
    </x:row>
    <x:row r="120" ht="69" customHeight="1">
      <x:c r="A120" s="20" t="str">
        <x:v>Y705</x:v>
      </x:c>
      <x:c r="B120" s="20" t="str">
        <x:v>Sunrays</x:v>
      </x:c>
      <x:c r="C120" s="22" t="str">
        <x:v>1010351</x:v>
      </x:c>
      <x:c r="D120" s="4" t="str">
        <x:v>Hull material</x:v>
      </x:c>
      <x:c r="E120" s="4" t="str">
        <x:v>Steel</x:v>
      </x:c>
      <x:c r="F120" s="4" t="str"/>
      <x:c r="G120" s="4" t="str">
        <x:v>Published specification; not certificate-verified</x:v>
      </x:c>
      <x:c r="H120" s="4" t="str"/>
      <x:c r="I120" s="4" t="str">
        <x:v>ED705</x:v>
      </x:c>
      <x:c r="J120" s="4" t="str">
        <x:v>https://www.edmiston.com/50/sunrays-yacht-charter/</x:v>
      </x:c>
      <x:c r="K120" s="28" t="n">
        <x:v>46290</x:v>
      </x:c>
    </x:row>
    <x:row r="121" ht="69" customHeight="1">
      <x:c r="A121" s="20" t="str">
        <x:v>Y705</x:v>
      </x:c>
      <x:c r="B121" s="20" t="str">
        <x:v>Sunrays</x:v>
      </x:c>
      <x:c r="C121" s="22" t="str">
        <x:v>1010351</x:v>
      </x:c>
      <x:c r="D121" s="4" t="str">
        <x:v>Superstructure material</x:v>
      </x:c>
      <x:c r="E121" s="4" t="str">
        <x:v>Aluminium</x:v>
      </x:c>
      <x:c r="F121" s="4" t="str"/>
      <x:c r="G121" s="4" t="str">
        <x:v>Published specification; not certificate-verified</x:v>
      </x:c>
      <x:c r="H121" s="4" t="str"/>
      <x:c r="I121" s="4" t="str">
        <x:v>ED705</x:v>
      </x:c>
      <x:c r="J121" s="4" t="str">
        <x:v>https://www.edmiston.com/50/sunrays-yacht-charter/</x:v>
      </x:c>
      <x:c r="K121" s="28" t="n">
        <x:v>46290</x:v>
      </x:c>
    </x:row>
    <x:row r="122" ht="69" customHeight="1">
      <x:c r="A122" s="20" t="str">
        <x:v>Y705</x:v>
      </x:c>
      <x:c r="B122" s="20" t="str">
        <x:v>Sunrays</x:v>
      </x:c>
      <x:c r="C122" s="22" t="str">
        <x:v>1010351</x:v>
      </x:c>
      <x:c r="D122" s="4" t="str">
        <x:v>Naval architecture / engineering</x:v>
      </x:c>
      <x:c r="E122" s="4" t="str">
        <x:v>Azure</x:v>
      </x:c>
      <x:c r="F122" s="4" t="str"/>
      <x:c r="G122" s="4" t="str">
        <x:v>Published specification; not certificate-verified</x:v>
      </x:c>
      <x:c r="H122" s="4" t="str"/>
      <x:c r="I122" s="4" t="str">
        <x:v>ED705</x:v>
      </x:c>
      <x:c r="J122" s="4" t="str">
        <x:v>https://www.edmiston.com/50/sunrays-yacht-charter/</x:v>
      </x:c>
      <x:c r="K122" s="28" t="n">
        <x:v>46290</x:v>
      </x:c>
    </x:row>
    <x:row r="123" ht="69" customHeight="1">
      <x:c r="A123" s="20" t="str">
        <x:v>Y705</x:v>
      </x:c>
      <x:c r="B123" s="20" t="str">
        <x:v>Sunrays</x:v>
      </x:c>
      <x:c r="C123" s="22" t="str">
        <x:v>1010351</x:v>
      </x:c>
      <x:c r="D123" s="4" t="str">
        <x:v>Exterior design</x:v>
      </x:c>
      <x:c r="E123" s="4" t="str">
        <x:v>Björn Johansson</x:v>
      </x:c>
      <x:c r="F123" s="4" t="str"/>
      <x:c r="G123" s="4" t="str">
        <x:v>Builder design credit; original build unless expressly noted</x:v>
      </x:c>
      <x:c r="H123" s="4" t="str"/>
      <x:c r="I123" s="4" t="str">
        <x:v>B705</x:v>
      </x:c>
      <x:c r="J123" s="4" t="str">
        <x:v>https://www.oceancoyacht.com/fleet/sunrays/</x:v>
      </x:c>
      <x:c r="K123" s="28" t="n">
        <x:v>46290</x:v>
      </x:c>
    </x:row>
    <x:row r="124" ht="69" customHeight="1">
      <x:c r="A124" s="20" t="str">
        <x:v>Y705</x:v>
      </x:c>
      <x:c r="B124" s="20" t="str">
        <x:v>Sunrays</x:v>
      </x:c>
      <x:c r="C124" s="22" t="str">
        <x:v>1010351</x:v>
      </x:c>
      <x:c r="D124" s="4" t="str">
        <x:v>Interior design</x:v>
      </x:c>
      <x:c r="E124" s="4" t="str">
        <x:v>Terence Disdale</x:v>
      </x:c>
      <x:c r="F124" s="4" t="str"/>
      <x:c r="G124" s="4" t="str">
        <x:v>Builder design credit; may not describe later refit</x:v>
      </x:c>
      <x:c r="H124" s="4" t="str"/>
      <x:c r="I124" s="4" t="str">
        <x:v>B705</x:v>
      </x:c>
      <x:c r="J124" s="4" t="str">
        <x:v>https://www.oceancoyacht.com/fleet/sunrays/</x:v>
      </x:c>
      <x:c r="K124" s="28" t="n">
        <x:v>46290</x:v>
      </x:c>
    </x:row>
    <x:row r="125" ht="69" customHeight="1">
      <x:c r="A125" s="20" t="str">
        <x:v>Y705</x:v>
      </x:c>
      <x:c r="B125" s="20" t="str">
        <x:v>Sunrays</x:v>
      </x:c>
      <x:c r="C125" s="22" t="str">
        <x:v>1010351</x:v>
      </x:c>
      <x:c r="D125" s="4" t="str">
        <x:v>Cruising speed</x:v>
      </x:c>
      <x:c r="E125" s="4" t="n">
        <x:v>14</x:v>
      </x:c>
      <x:c r="F125" s="4" t="str">
        <x:v>kn</x:v>
      </x:c>
      <x:c r="G125" s="4" t="str">
        <x:v>Published specification; not certificate-verified</x:v>
      </x:c>
      <x:c r="H125" s="4" t="str"/>
      <x:c r="I125" s="4" t="str">
        <x:v>ED705</x:v>
      </x:c>
      <x:c r="J125" s="4" t="str">
        <x:v>https://www.edmiston.com/50/sunrays-yacht-charter/</x:v>
      </x:c>
      <x:c r="K125" s="28" t="n">
        <x:v>46290</x:v>
      </x:c>
    </x:row>
    <x:row r="126" ht="69" customHeight="1">
      <x:c r="A126" s="20" t="str">
        <x:v>Y705</x:v>
      </x:c>
      <x:c r="B126" s="20" t="str">
        <x:v>Sunrays</x:v>
      </x:c>
      <x:c r="C126" s="22" t="str">
        <x:v>1010351</x:v>
      </x:c>
      <x:c r="D126" s="4" t="str">
        <x:v>Published guests</x:v>
      </x:c>
      <x:c r="E126" s="4" t="n">
        <x:v>12</x:v>
      </x:c>
      <x:c r="F126" s="4" t="str">
        <x:v>persons</x:v>
      </x:c>
      <x:c r="G126" s="4" t="str">
        <x:v>Published specification; not certificate-verified</x:v>
      </x:c>
      <x:c r="H126" s="4" t="str"/>
      <x:c r="I126" s="4" t="str">
        <x:v>ED705</x:v>
      </x:c>
      <x:c r="J126" s="4" t="str">
        <x:v>https://www.edmiston.com/50/sunrays-yacht-charter/</x:v>
      </x:c>
      <x:c r="K126" s="28" t="n">
        <x:v>46290</x:v>
      </x:c>
    </x:row>
    <x:row r="127" ht="69" customHeight="1">
      <x:c r="A127" s="20" t="str">
        <x:v>Y705</x:v>
      </x:c>
      <x:c r="B127" s="20" t="str">
        <x:v>Sunrays</x:v>
      </x:c>
      <x:c r="C127" s="22" t="str">
        <x:v>1010351</x:v>
      </x:c>
      <x:c r="D127" s="4" t="str">
        <x:v>Published guest cabins</x:v>
      </x:c>
      <x:c r="E127" s="4" t="n">
        <x:v>8</x:v>
      </x:c>
      <x:c r="F127" s="4" t="str">
        <x:v>cabins</x:v>
      </x:c>
      <x:c r="G127" s="4" t="str">
        <x:v>Published specification; not certificate-verified</x:v>
      </x:c>
      <x:c r="H127" s="4" t="str"/>
      <x:c r="I127" s="4" t="str">
        <x:v>ED705</x:v>
      </x:c>
      <x:c r="J127" s="4" t="str">
        <x:v>https://www.edmiston.com/50/sunrays-yacht-charter/</x:v>
      </x:c>
      <x:c r="K127" s="28" t="n">
        <x:v>46290</x:v>
      </x:c>
    </x:row>
    <x:row r="128" ht="69" customHeight="1">
      <x:c r="A128" s="20" t="str">
        <x:v>Y705</x:v>
      </x:c>
      <x:c r="B128" s="20" t="str">
        <x:v>Sunrays</x:v>
      </x:c>
      <x:c r="C128" s="22" t="str">
        <x:v>1010351</x:v>
      </x:c>
      <x:c r="D128" s="4" t="str">
        <x:v>Published crew</x:v>
      </x:c>
      <x:c r="E128" s="4" t="n">
        <x:v>29</x:v>
      </x:c>
      <x:c r="F128" s="4" t="str">
        <x:v>persons</x:v>
      </x:c>
      <x:c r="G128" s="4" t="str">
        <x:v>Published specification; not certificate-verified</x:v>
      </x:c>
      <x:c r="H128" s="4" t="str"/>
      <x:c r="I128" s="4" t="str">
        <x:v>ED705</x:v>
      </x:c>
      <x:c r="J128" s="4" t="str">
        <x:v>https://www.edmiston.com/50/sunrays-yacht-charter/</x:v>
      </x:c>
      <x:c r="K128" s="28" t="n">
        <x:v>46290</x:v>
      </x:c>
    </x:row>
    <x:row r="129" ht="69" customHeight="1">
      <x:c r="A129" s="20" t="str">
        <x:v>Y705</x:v>
      </x:c>
      <x:c r="B129" s="20" t="str">
        <x:v>Sunrays</x:v>
      </x:c>
      <x:c r="C129" s="22" t="str">
        <x:v>1010351</x:v>
      </x:c>
      <x:c r="D129" s="4" t="str">
        <x:v>Latest refit/rebuild identified</x:v>
      </x:c>
      <x:c r="E129" s="4" t="n">
        <x:v>2025</x:v>
      </x:c>
      <x:c r="F129" s="4" t="str">
        <x:v>year</x:v>
      </x:c>
      <x:c r="G129" s="4" t="str">
        <x:v>Published specification; not certificate-verified</x:v>
      </x:c>
      <x:c r="H129" s="4" t="str"/>
      <x:c r="I129" s="4" t="str">
        <x:v>ED705</x:v>
      </x:c>
      <x:c r="J129" s="4" t="str">
        <x:v>https://www.edmiston.com/50/sunrays-yacht-charter/</x:v>
      </x:c>
      <x:c r="K129" s="28" t="n">
        <x:v>46290</x:v>
      </x:c>
    </x:row>
    <x:row r="130" ht="69" customHeight="1">
      <x:c r="A130" s="20" t="str">
        <x:v>Y705</x:v>
      </x:c>
      <x:c r="B130" s="20" t="str">
        <x:v>Sunrays</x:v>
      </x:c>
      <x:c r="C130" s="22" t="str">
        <x:v>1010351</x:v>
      </x:c>
      <x:c r="D130" s="4" t="str">
        <x:v>Broker beam</x:v>
      </x:c>
      <x:c r="E130" s="4" t="n">
        <x:v>13.8</x:v>
      </x:c>
      <x:c r="F130" s="4" t="str">
        <x:v>m</x:v>
      </x:c>
      <x:c r="G130" s="4" t="str">
        <x:v>Broker publication</x:v>
      </x:c>
      <x:c r="H130" s="4" t="str">
        <x:v>Conflicts with builder 14.2m.</x:v>
      </x:c>
      <x:c r="I130" s="4" t="str">
        <x:v>ED705</x:v>
      </x:c>
      <x:c r="J130" s="4" t="str">
        <x:v>https://www.edmiston.com/50/sunrays-yacht-charter/</x:v>
      </x:c>
      <x:c r="K130" s="28" t="n">
        <x:v>46290</x:v>
      </x:c>
    </x:row>
    <x:row r="131" ht="69" customHeight="1">
      <x:c r="A131" s="20" t="str">
        <x:v>Y706</x:v>
      </x:c>
      <x:c r="B131" s="20" t="str">
        <x:v>Man of Steel</x:v>
      </x:c>
      <x:c r="C131" s="22" t="str">
        <x:v>1010777</x:v>
      </x:c>
      <x:c r="D131" s="4" t="str">
        <x:v>Yard code</x:v>
      </x:c>
      <x:c r="E131" s="4" t="str">
        <x:v>Y706</x:v>
      </x:c>
      <x:c r="F131" s="4" t="str"/>
      <x:c r="G131" s="4" t="str">
        <x:v>Public build-to-vessel cross-reference</x:v>
      </x:c>
      <x:c r="H131" s="4" t="str">
        <x:v>No builder certificate inspected.</x:v>
      </x:c>
      <x:c r="I131" s="4" t="str">
        <x:v>Y706</x:v>
      </x:c>
      <x:c r="J131" s="4" t="str">
        <x:v>https://sandpeoplecommunication.wordpress.com/tag/tender/page/2/</x:v>
      </x:c>
      <x:c r="K131" s="28" t="n">
        <x:v>46290</x:v>
      </x:c>
    </x:row>
    <x:row r="132" ht="69" customHeight="1">
      <x:c r="A132" s="20" t="str">
        <x:v>Y706</x:v>
      </x:c>
      <x:c r="B132" s="20" t="str">
        <x:v>Man of Steel</x:v>
      </x:c>
      <x:c r="C132" s="22" t="str">
        <x:v>1010777</x:v>
      </x:c>
      <x:c r="D132" s="4" t="str">
        <x:v>Current published name</x:v>
      </x:c>
      <x:c r="E132" s="4" t="str">
        <x:v>Man of Steel</x:v>
      </x:c>
      <x:c r="F132" s="4" t="str"/>
      <x:c r="G132" s="4" t="str">
        <x:v>Builder fleet publication</x:v>
      </x:c>
      <x:c r="H132" s="4" t="str">
        <x:v>Name may change after retrieval.</x:v>
      </x:c>
      <x:c r="I132" s="4" t="str">
        <x:v>FLEET2</x:v>
      </x:c>
      <x:c r="J132" s="4" t="str">
        <x:v>https://www.oceancoyacht.com/fleet/?pag=2</x:v>
      </x:c>
      <x:c r="K132" s="28" t="n">
        <x:v>46290</x:v>
      </x:c>
    </x:row>
    <x:row r="133" ht="69" customHeight="1">
      <x:c r="A133" s="20" t="str">
        <x:v>Y706</x:v>
      </x:c>
      <x:c r="B133" s="20" t="str">
        <x:v>Man of Steel</x:v>
      </x:c>
      <x:c r="C133" s="22" t="str">
        <x:v>1010777</x:v>
      </x:c>
      <x:c r="D133" s="4" t="str">
        <x:v>Former names / aliases</x:v>
      </x:c>
      <x:c r="E133" s="4" t="str">
        <x:v>Seven Seas (86m)</x:v>
      </x:c>
      <x:c r="F133" s="4" t="str"/>
      <x:c r="G133" s="4" t="str">
        <x:v>Published name history / alias</x:v>
      </x:c>
      <x:c r="H133" s="4" t="str">
        <x:v>Not a certified complete sequence; dates not inferred.</x:v>
      </x:c>
      <x:c r="I133" s="4" t="str">
        <x:v>V706</x:v>
      </x:c>
      <x:c r="J133" s="4" t="str">
        <x:v>https://www.vesselfinder.com/vessels/details/1010777</x:v>
      </x:c>
      <x:c r="K133" s="28" t="n">
        <x:v>46290</x:v>
      </x:c>
    </x:row>
    <x:row r="134" ht="69" customHeight="1">
      <x:c r="A134" s="20" t="str">
        <x:v>Y706</x:v>
      </x:c>
      <x:c r="B134" s="20" t="str">
        <x:v>Man of Steel</x:v>
      </x:c>
      <x:c r="C134" s="22" t="str">
        <x:v>1010777</x:v>
      </x:c>
      <x:c r="D134" s="4" t="str">
        <x:v>Delivered</x:v>
      </x:c>
      <x:c r="E134" s="4" t="n">
        <x:v>2010</x:v>
      </x:c>
      <x:c r="F134" s="4" t="str">
        <x:v>year</x:v>
      </x:c>
      <x:c r="G134" s="4" t="str">
        <x:v>Builder delivery year</x:v>
      </x:c>
      <x:c r="H134" s="4" t="str">
        <x:v>Do not equate with keel-laying or launch year.</x:v>
      </x:c>
      <x:c r="I134" s="4" t="str">
        <x:v>FLEET2</x:v>
      </x:c>
      <x:c r="J134" s="4" t="str">
        <x:v>https://www.oceancoyacht.com/fleet/?pag=2</x:v>
      </x:c>
      <x:c r="K134" s="28" t="n">
        <x:v>46290</x:v>
      </x:c>
    </x:row>
    <x:row r="135" ht="69" customHeight="1">
      <x:c r="A135" s="20" t="str">
        <x:v>Y706</x:v>
      </x:c>
      <x:c r="B135" s="20" t="str">
        <x:v>Man of Steel</x:v>
      </x:c>
      <x:c r="C135" s="22" t="str">
        <x:v>1010777</x:v>
      </x:c>
      <x:c r="D135" s="4" t="str">
        <x:v>IMO</x:v>
      </x:c>
      <x:c r="E135" s="4" t="str">
        <x:v>1010777</x:v>
      </x:c>
      <x:c r="F135" s="4" t="str"/>
      <x:c r="G135" s="4" t="str">
        <x:v>Database static vessel particulars</x:v>
      </x:c>
      <x:c r="H135" s="4" t="str">
        <x:v>Checksum passed; checksum does not independently confirm identity.</x:v>
      </x:c>
      <x:c r="I135" s="4" t="str">
        <x:v>V706</x:v>
      </x:c>
      <x:c r="J135" s="4" t="str">
        <x:v>https://www.vesselfinder.com/vessels/details/1010777</x:v>
      </x:c>
      <x:c r="K135" s="28" t="n">
        <x:v>46290</x:v>
      </x:c>
    </x:row>
    <x:row r="136" ht="69" customHeight="1">
      <x:c r="A136" s="20" t="str">
        <x:v>Y706</x:v>
      </x:c>
      <x:c r="B136" s="20" t="str">
        <x:v>Man of Steel</x:v>
      </x:c>
      <x:c r="C136" s="22" t="str">
        <x:v>1010777</x:v>
      </x:c>
      <x:c r="D136" s="4" t="str">
        <x:v>MMSI</x:v>
      </x:c>
      <x:c r="E136" s="4" t="str">
        <x:v>319729000</x:v>
      </x:c>
      <x:c r="F136" s="4" t="str"/>
      <x:c r="G136" s="4" t="str">
        <x:v>Published radio identity</x:v>
      </x:c>
      <x:c r="H136" s="4" t="str">
        <x:v>Published database identity; current registry/radio licence not inspected.</x:v>
      </x:c>
      <x:c r="I136" s="4" t="str">
        <x:v>V706</x:v>
      </x:c>
      <x:c r="J136" s="4" t="str">
        <x:v>https://www.vesselfinder.com/vessels/details/1010777</x:v>
      </x:c>
      <x:c r="K136" s="28" t="n">
        <x:v>46290</x:v>
      </x:c>
    </x:row>
    <x:row r="137" ht="69" customHeight="1">
      <x:c r="A137" s="20" t="str">
        <x:v>Y706</x:v>
      </x:c>
      <x:c r="B137" s="20" t="str">
        <x:v>Man of Steel</x:v>
      </x:c>
      <x:c r="C137" s="22" t="str">
        <x:v>1010777</x:v>
      </x:c>
      <x:c r="D137" s="4" t="str">
        <x:v>Call sign</x:v>
      </x:c>
      <x:c r="E137" s="4" t="str">
        <x:v>ZGAZ5</x:v>
      </x:c>
      <x:c r="F137" s="4" t="str"/>
      <x:c r="G137" s="4" t="str">
        <x:v>Published radio identity</x:v>
      </x:c>
      <x:c r="H137" s="4" t="str">
        <x:v>Published database identity; current registry/radio licence not inspected.</x:v>
      </x:c>
      <x:c r="I137" s="4" t="str">
        <x:v>V706</x:v>
      </x:c>
      <x:c r="J137" s="4" t="str">
        <x:v>https://www.vesselfinder.com/vessels/details/1010777</x:v>
      </x:c>
      <x:c r="K137" s="28" t="n">
        <x:v>46290</x:v>
      </x:c>
    </x:row>
    <x:row r="138" ht="69" customHeight="1">
      <x:c r="A138" s="20" t="str">
        <x:v>Y706</x:v>
      </x:c>
      <x:c r="B138" s="20" t="str">
        <x:v>Man of Steel</x:v>
      </x:c>
      <x:c r="C138" s="22" t="str">
        <x:v>1010777</x:v>
      </x:c>
      <x:c r="D138" s="4" t="str">
        <x:v>Flag</x:v>
      </x:c>
      <x:c r="E138" s="4" t="str">
        <x:v>Cayman Islands</x:v>
      </x:c>
      <x:c r="F138" s="4" t="str"/>
      <x:c r="G138" s="4" t="str">
        <x:v>Published flag / AIS identity</x:v>
      </x:c>
      <x:c r="H138" s="4" t="str">
        <x:v>Published database identity; current registry/radio licence not inspected.</x:v>
      </x:c>
      <x:c r="I138" s="4" t="str">
        <x:v>V706</x:v>
      </x:c>
      <x:c r="J138" s="4" t="str">
        <x:v>https://www.vesselfinder.com/vessels/details/1010777</x:v>
      </x:c>
      <x:c r="K138" s="28" t="n">
        <x:v>46290</x:v>
      </x:c>
    </x:row>
    <x:row r="139" ht="69" customHeight="1">
      <x:c r="A139" s="20" t="str">
        <x:v>Y706</x:v>
      </x:c>
      <x:c r="B139" s="20" t="str">
        <x:v>Man of Steel</x:v>
      </x:c>
      <x:c r="C139" s="22" t="str">
        <x:v>1010777</x:v>
      </x:c>
      <x:c r="D139" s="4" t="str">
        <x:v>Preferred published LOA</x:v>
      </x:c>
      <x:c r="E139" s="4" t="n">
        <x:v>86</x:v>
      </x:c>
      <x:c r="F139" s="4" t="str">
        <x:v>m</x:v>
      </x:c>
      <x:c r="G139" s="4" t="str">
        <x:v>Builder published overall length</x:v>
      </x:c>
      <x:c r="H139" s="4" t="str">
        <x:v>Not independently measured or certificate-verified.</x:v>
      </x:c>
      <x:c r="I139" s="4" t="str">
        <x:v>FLEET2</x:v>
      </x:c>
      <x:c r="J139" s="4" t="str">
        <x:v>https://www.oceancoyacht.com/fleet/?pag=2</x:v>
      </x:c>
      <x:c r="K139" s="28" t="n">
        <x:v>46290</x:v>
      </x:c>
    </x:row>
    <x:row r="140" ht="69" customHeight="1">
      <x:c r="A140" s="20" t="str">
        <x:v>Y706</x:v>
      </x:c>
      <x:c r="B140" s="20" t="str">
        <x:v>Man of Steel</x:v>
      </x:c>
      <x:c r="C140" s="22" t="str">
        <x:v>1010777</x:v>
      </x:c>
      <x:c r="D140" s="4" t="str">
        <x:v>Preferred published beam</x:v>
      </x:c>
      <x:c r="E140" s="4" t="n">
        <x:v>14.2</x:v>
      </x:c>
      <x:c r="F140" s="4" t="str">
        <x:v>m</x:v>
      </x:c>
      <x:c r="G140" s="4" t="str">
        <x:v>Database beam</x:v>
      </x:c>
      <x:c r="H140" s="4" t="str">
        <x:v>Not moulded breadth unless source explicitly says so.</x:v>
      </x:c>
      <x:c r="I140" s="4" t="str">
        <x:v>V706</x:v>
      </x:c>
      <x:c r="J140" s="4" t="str">
        <x:v>https://www.vesselfinder.com/vessels/details/1010777</x:v>
      </x:c>
      <x:c r="K140" s="28" t="n">
        <x:v>46290</x:v>
      </x:c>
    </x:row>
    <x:row r="141" ht="69" customHeight="1">
      <x:c r="A141" s="20" t="str">
        <x:v>Y706</x:v>
      </x:c>
      <x:c r="B141" s="20" t="str">
        <x:v>Man of Steel</x:v>
      </x:c>
      <x:c r="C141" s="22" t="str">
        <x:v>1010777</x:v>
      </x:c>
      <x:c r="D141" s="4" t="str">
        <x:v>Working gross tonnage</x:v>
      </x:c>
      <x:c r="E141" s="4" t="n">
        <x:v>2658</x:v>
      </x:c>
      <x:c r="F141" s="4" t="str">
        <x:v>GT</x:v>
      </x:c>
      <x:c r="G141" s="4" t="str">
        <x:v>Database static GT</x:v>
      </x:c>
      <x:c r="H141" s="4" t="str">
        <x:v>GT is not mass/displacement.</x:v>
      </x:c>
      <x:c r="I141" s="4" t="str">
        <x:v>V706</x:v>
      </x:c>
      <x:c r="J141" s="4" t="str">
        <x:v>https://www.vesselfinder.com/vessels/details/1010777</x:v>
      </x:c>
      <x:c r="K141" s="28" t="n">
        <x:v>46290</x:v>
      </x:c>
    </x:row>
    <x:row r="142" ht="69" customHeight="1">
      <x:c r="A142" s="20" t="str">
        <x:v>Y706</x:v>
      </x:c>
      <x:c r="B142" s="20" t="str">
        <x:v>Man of Steel</x:v>
      </x:c>
      <x:c r="C142" s="22" t="str">
        <x:v>1010777</x:v>
      </x:c>
      <x:c r="D142" s="4" t="str">
        <x:v>Database static LOA</x:v>
      </x:c>
      <x:c r="E142" s="4" t="n">
        <x:v>86.01</x:v>
      </x:c>
      <x:c r="F142" s="4" t="str">
        <x:v>m</x:v>
      </x:c>
      <x:c r="G142" s="4" t="str">
        <x:v>Database static specification, not AIS dimensions</x:v>
      </x:c>
      <x:c r="H142" s="4" t="str">
        <x:v>LOA/year from builder fleet page; 14.2m beam from database because detail page unavailable.</x:v>
      </x:c>
      <x:c r="I142" s="4" t="str">
        <x:v>V706</x:v>
      </x:c>
      <x:c r="J142" s="4" t="str">
        <x:v>https://www.vesselfinder.com/vessels/details/1010777</x:v>
      </x:c>
      <x:c r="K142" s="28" t="n">
        <x:v>46290</x:v>
      </x:c>
    </x:row>
    <x:row r="143" ht="69" customHeight="1">
      <x:c r="A143" s="20" t="str">
        <x:v>Y706</x:v>
      </x:c>
      <x:c r="B143" s="20" t="str">
        <x:v>Man of Steel</x:v>
      </x:c>
      <x:c r="C143" s="22" t="str">
        <x:v>1010777</x:v>
      </x:c>
      <x:c r="D143" s="4" t="str">
        <x:v>Database static beam</x:v>
      </x:c>
      <x:c r="E143" s="4" t="n">
        <x:v>14.2</x:v>
      </x:c>
      <x:c r="F143" s="4" t="str">
        <x:v>m</x:v>
      </x:c>
      <x:c r="G143" s="4" t="str">
        <x:v>Database static specification, not AIS dimensions</x:v>
      </x:c>
      <x:c r="H143" s="4" t="str">
        <x:v>LOA/year from builder fleet page; 14.2m beam from database because detail page unavailable.</x:v>
      </x:c>
      <x:c r="I143" s="4" t="str">
        <x:v>V706</x:v>
      </x:c>
      <x:c r="J143" s="4" t="str">
        <x:v>https://www.vesselfinder.com/vessels/details/1010777</x:v>
      </x:c>
      <x:c r="K143" s="28" t="n">
        <x:v>46290</x:v>
      </x:c>
    </x:row>
    <x:row r="144" ht="69" customHeight="1">
      <x:c r="A144" s="20" t="str">
        <x:v>Y706</x:v>
      </x:c>
      <x:c r="B144" s="20" t="str">
        <x:v>Man of Steel</x:v>
      </x:c>
      <x:c r="C144" s="22" t="str">
        <x:v>1010777</x:v>
      </x:c>
      <x:c r="D144" s="4" t="str">
        <x:v>Database static GT</x:v>
      </x:c>
      <x:c r="E144" s="4" t="n">
        <x:v>2658</x:v>
      </x:c>
      <x:c r="F144" s="4" t="str">
        <x:v>GT</x:v>
      </x:c>
      <x:c r="G144" s="4" t="str">
        <x:v>Database static specification</x:v>
      </x:c>
      <x:c r="H144" s="4" t="str">
        <x:v>Not a current International Tonnage Certificate.</x:v>
      </x:c>
      <x:c r="I144" s="4" t="str">
        <x:v>V706</x:v>
      </x:c>
      <x:c r="J144" s="4" t="str">
        <x:v>https://www.vesselfinder.com/vessels/details/1010777</x:v>
      </x:c>
      <x:c r="K144" s="28" t="n">
        <x:v>46290</x:v>
      </x:c>
    </x:row>
    <x:row r="145" ht="69" customHeight="1">
      <x:c r="A145" s="20" t="str">
        <x:v>Y706</x:v>
      </x:c>
      <x:c r="B145" s="20" t="str">
        <x:v>Man of Steel</x:v>
      </x:c>
      <x:c r="C145" s="22" t="str">
        <x:v>1010777</x:v>
      </x:c>
      <x:c r="D145" s="4" t="str">
        <x:v>Hull material</x:v>
      </x:c>
      <x:c r="E145" s="4" t="str">
        <x:v>Steel</x:v>
      </x:c>
      <x:c r="F145" s="4" t="str"/>
      <x:c r="G145" s="4" t="str">
        <x:v>Historical original-build broker profile</x:v>
      </x:c>
      <x:c r="H145" s="4" t="str"/>
      <x:c r="I145" s="4" t="str">
        <x:v>CW706</x:v>
      </x:c>
      <x:c r="J145" s="4" t="str">
        <x:v>https://www.charterworld.com/index.html?charter=motor-yacht-y-5937&amp;sub=yacht-charter</x:v>
      </x:c>
      <x:c r="K145" s="28" t="n">
        <x:v>46290</x:v>
      </x:c>
    </x:row>
    <x:row r="146" ht="69" customHeight="1">
      <x:c r="A146" s="20" t="str">
        <x:v>Y706</x:v>
      </x:c>
      <x:c r="B146" s="20" t="str">
        <x:v>Man of Steel</x:v>
      </x:c>
      <x:c r="C146" s="22" t="str">
        <x:v>1010777</x:v>
      </x:c>
      <x:c r="D146" s="4" t="str">
        <x:v>Naval architecture / engineering</x:v>
      </x:c>
      <x:c r="E146" s="4" t="str">
        <x:v>Azure</x:v>
      </x:c>
      <x:c r="F146" s="4" t="str"/>
      <x:c r="G146" s="4" t="str">
        <x:v>Historical original-build broker profile</x:v>
      </x:c>
      <x:c r="H146" s="4" t="str"/>
      <x:c r="I146" s="4" t="str">
        <x:v>CW706</x:v>
      </x:c>
      <x:c r="J146" s="4" t="str">
        <x:v>https://www.charterworld.com/index.html?charter=motor-yacht-y-5937&amp;sub=yacht-charter</x:v>
      </x:c>
      <x:c r="K146" s="28" t="n">
        <x:v>46290</x:v>
      </x:c>
    </x:row>
    <x:row r="147" ht="69" customHeight="1">
      <x:c r="A147" s="20" t="str">
        <x:v>Y706</x:v>
      </x:c>
      <x:c r="B147" s="20" t="str">
        <x:v>Man of Steel</x:v>
      </x:c>
      <x:c r="C147" s="22" t="str">
        <x:v>1010777</x:v>
      </x:c>
      <x:c r="D147" s="4" t="str">
        <x:v>Exterior design</x:v>
      </x:c>
      <x:c r="E147" s="4" t="str">
        <x:v>Nuvolari Lenard</x:v>
      </x:c>
      <x:c r="F147" s="4" t="str"/>
      <x:c r="G147" s="4" t="str">
        <x:v>Historical original-build broker profile</x:v>
      </x:c>
      <x:c r="H147" s="4" t="str"/>
      <x:c r="I147" s="4" t="str">
        <x:v>CW706</x:v>
      </x:c>
      <x:c r="J147" s="4" t="str">
        <x:v>https://www.charterworld.com/index.html?charter=motor-yacht-y-5937&amp;sub=yacht-charter</x:v>
      </x:c>
      <x:c r="K147" s="28" t="n">
        <x:v>46290</x:v>
      </x:c>
    </x:row>
    <x:row r="148" ht="69" customHeight="1">
      <x:c r="A148" s="20" t="str">
        <x:v>Y707</x:v>
      </x:c>
      <x:c r="B148" s="20" t="str">
        <x:v>Nirvana</x:v>
      </x:c>
      <x:c r="C148" s="22" t="str">
        <x:v>1011202</x:v>
      </x:c>
      <x:c r="D148" s="4" t="str">
        <x:v>Yard code</x:v>
      </x:c>
      <x:c r="E148" s="4" t="str">
        <x:v>Y707</x:v>
      </x:c>
      <x:c r="F148" s="4" t="str"/>
      <x:c r="G148" s="4" t="str">
        <x:v>Public build-to-vessel cross-reference</x:v>
      </x:c>
      <x:c r="H148" s="4" t="str">
        <x:v>No builder certificate inspected.</x:v>
      </x:c>
      <x:c r="I148" s="4" t="str">
        <x:v>Y707</x:v>
      </x:c>
      <x:c r="J148" s="4" t="str">
        <x:v>https://www.shipspotting.com/photos/1522215</x:v>
      </x:c>
      <x:c r="K148" s="28" t="n">
        <x:v>46290</x:v>
      </x:c>
    </x:row>
    <x:row r="149" ht="69" customHeight="1">
      <x:c r="A149" s="20" t="str">
        <x:v>Y707</x:v>
      </x:c>
      <x:c r="B149" s="20" t="str">
        <x:v>Nirvana</x:v>
      </x:c>
      <x:c r="C149" s="22" t="str">
        <x:v>1011202</x:v>
      </x:c>
      <x:c r="D149" s="4" t="str">
        <x:v>Current published name</x:v>
      </x:c>
      <x:c r="E149" s="4" t="str">
        <x:v>Nirvana</x:v>
      </x:c>
      <x:c r="F149" s="4" t="str"/>
      <x:c r="G149" s="4" t="str">
        <x:v>Builder fleet publication</x:v>
      </x:c>
      <x:c r="H149" s="4" t="str">
        <x:v>Name may change after retrieval.</x:v>
      </x:c>
      <x:c r="I149" s="4" t="str">
        <x:v>B707</x:v>
      </x:c>
      <x:c r="J149" s="4" t="str">
        <x:v>https://www.oceancoyacht.com/fleet/nirvana/</x:v>
      </x:c>
      <x:c r="K149" s="28" t="n">
        <x:v>46290</x:v>
      </x:c>
    </x:row>
    <x:row r="150" ht="69" customHeight="1">
      <x:c r="A150" s="20" t="str">
        <x:v>Y707</x:v>
      </x:c>
      <x:c r="B150" s="20" t="str">
        <x:v>Nirvana</x:v>
      </x:c>
      <x:c r="C150" s="22" t="str">
        <x:v>1011202</x:v>
      </x:c>
      <x:c r="D150" s="4" t="str">
        <x:v>Former names / aliases</x:v>
      </x:c>
      <x:c r="E150" s="4" t="str">
        <x:v>AIS name: MY NIRVANA</x:v>
      </x:c>
      <x:c r="F150" s="4" t="str"/>
      <x:c r="G150" s="4" t="str">
        <x:v>Published name history / alias</x:v>
      </x:c>
      <x:c r="H150" s="4" t="str">
        <x:v>Not a certified complete sequence; dates not inferred.</x:v>
      </x:c>
      <x:c r="I150" s="4" t="str">
        <x:v>V707</x:v>
      </x:c>
      <x:c r="J150" s="4" t="str">
        <x:v>https://www.vesselfinder.com/vessels/details/1011202</x:v>
      </x:c>
      <x:c r="K150" s="28" t="n">
        <x:v>46290</x:v>
      </x:c>
    </x:row>
    <x:row r="151" ht="69" customHeight="1">
      <x:c r="A151" s="20" t="str">
        <x:v>Y707</x:v>
      </x:c>
      <x:c r="B151" s="20" t="str">
        <x:v>Nirvana</x:v>
      </x:c>
      <x:c r="C151" s="22" t="str">
        <x:v>1011202</x:v>
      </x:c>
      <x:c r="D151" s="4" t="str">
        <x:v>Delivered</x:v>
      </x:c>
      <x:c r="E151" s="4" t="n">
        <x:v>2012</x:v>
      </x:c>
      <x:c r="F151" s="4" t="str">
        <x:v>year</x:v>
      </x:c>
      <x:c r="G151" s="4" t="str">
        <x:v>Builder delivery year</x:v>
      </x:c>
      <x:c r="H151" s="4" t="str">
        <x:v>Do not equate with keel-laying or launch year.</x:v>
      </x:c>
      <x:c r="I151" s="4" t="str">
        <x:v>B707</x:v>
      </x:c>
      <x:c r="J151" s="4" t="str">
        <x:v>https://www.oceancoyacht.com/fleet/nirvana/</x:v>
      </x:c>
      <x:c r="K151" s="28" t="n">
        <x:v>46290</x:v>
      </x:c>
    </x:row>
    <x:row r="152" ht="69" customHeight="1">
      <x:c r="A152" s="20" t="str">
        <x:v>Y707</x:v>
      </x:c>
      <x:c r="B152" s="20" t="str">
        <x:v>Nirvana</x:v>
      </x:c>
      <x:c r="C152" s="22" t="str">
        <x:v>1011202</x:v>
      </x:c>
      <x:c r="D152" s="4" t="str">
        <x:v>IMO</x:v>
      </x:c>
      <x:c r="E152" s="4" t="str">
        <x:v>1011202</x:v>
      </x:c>
      <x:c r="F152" s="4" t="str"/>
      <x:c r="G152" s="4" t="str">
        <x:v>Database static vessel particulars</x:v>
      </x:c>
      <x:c r="H152" s="4" t="str">
        <x:v>Checksum passed; checksum does not independently confirm identity.</x:v>
      </x:c>
      <x:c r="I152" s="4" t="str">
        <x:v>V707</x:v>
      </x:c>
      <x:c r="J152" s="4" t="str">
        <x:v>https://www.vesselfinder.com/vessels/details/1011202</x:v>
      </x:c>
      <x:c r="K152" s="28" t="n">
        <x:v>46290</x:v>
      </x:c>
    </x:row>
    <x:row r="153" ht="69" customHeight="1">
      <x:c r="A153" s="20" t="str">
        <x:v>Y707</x:v>
      </x:c>
      <x:c r="B153" s="20" t="str">
        <x:v>Nirvana</x:v>
      </x:c>
      <x:c r="C153" s="22" t="str">
        <x:v>1011202</x:v>
      </x:c>
      <x:c r="D153" s="4" t="str">
        <x:v>MMSI</x:v>
      </x:c>
      <x:c r="E153" s="4" t="str">
        <x:v>533132675</x:v>
      </x:c>
      <x:c r="F153" s="4" t="str"/>
      <x:c r="G153" s="4" t="str">
        <x:v>Published radio identity</x:v>
      </x:c>
      <x:c r="H153" s="4" t="str">
        <x:v>AIS header says Malaysia; static flag field says Unknown. Current registry certificate not checked.</x:v>
      </x:c>
      <x:c r="I153" s="4" t="str">
        <x:v>V707</x:v>
      </x:c>
      <x:c r="J153" s="4" t="str">
        <x:v>https://www.vesselfinder.com/vessels/details/1011202</x:v>
      </x:c>
      <x:c r="K153" s="28" t="n">
        <x:v>46290</x:v>
      </x:c>
    </x:row>
    <x:row r="154" ht="69" customHeight="1">
      <x:c r="A154" s="20" t="str">
        <x:v>Y707</x:v>
      </x:c>
      <x:c r="B154" s="20" t="str">
        <x:v>Nirvana</x:v>
      </x:c>
      <x:c r="C154" s="22" t="str">
        <x:v>1011202</x:v>
      </x:c>
      <x:c r="D154" s="4" t="str">
        <x:v>Call sign</x:v>
      </x:c>
      <x:c r="E154" s="4" t="str">
        <x:v>9M3187</x:v>
      </x:c>
      <x:c r="F154" s="4" t="str"/>
      <x:c r="G154" s="4" t="str">
        <x:v>Published radio identity</x:v>
      </x:c>
      <x:c r="H154" s="4" t="str">
        <x:v>AIS header says Malaysia; static flag field says Unknown. Current registry certificate not checked.</x:v>
      </x:c>
      <x:c r="I154" s="4" t="str">
        <x:v>V707</x:v>
      </x:c>
      <x:c r="J154" s="4" t="str">
        <x:v>https://www.vesselfinder.com/vessels/details/1011202</x:v>
      </x:c>
      <x:c r="K154" s="28" t="n">
        <x:v>46290</x:v>
      </x:c>
    </x:row>
    <x:row r="155" ht="69" customHeight="1">
      <x:c r="A155" s="20" t="str">
        <x:v>Y707</x:v>
      </x:c>
      <x:c r="B155" s="20" t="str">
        <x:v>Nirvana</x:v>
      </x:c>
      <x:c r="C155" s="22" t="str">
        <x:v>1011202</x:v>
      </x:c>
      <x:c r="D155" s="4" t="str">
        <x:v>Flag</x:v>
      </x:c>
      <x:c r="E155" s="4" t="str">
        <x:v>Malaysia (AIS)</x:v>
      </x:c>
      <x:c r="F155" s="4" t="str"/>
      <x:c r="G155" s="4" t="str">
        <x:v>Published flag / AIS identity</x:v>
      </x:c>
      <x:c r="H155" s="4" t="str">
        <x:v>AIS header says Malaysia; static flag field says Unknown. Current registry certificate not checked.</x:v>
      </x:c>
      <x:c r="I155" s="4" t="str">
        <x:v>V707</x:v>
      </x:c>
      <x:c r="J155" s="4" t="str">
        <x:v>https://www.vesselfinder.com/vessels/details/1011202</x:v>
      </x:c>
      <x:c r="K155" s="28" t="n">
        <x:v>46290</x:v>
      </x:c>
    </x:row>
    <x:row r="156" ht="69" customHeight="1">
      <x:c r="A156" s="20" t="str">
        <x:v>Y707</x:v>
      </x:c>
      <x:c r="B156" s="20" t="str">
        <x:v>Nirvana</x:v>
      </x:c>
      <x:c r="C156" s="22" t="str">
        <x:v>1011202</x:v>
      </x:c>
      <x:c r="D156" s="4" t="str">
        <x:v>Preferred published LOA</x:v>
      </x:c>
      <x:c r="E156" s="4" t="n">
        <x:v>88.5</x:v>
      </x:c>
      <x:c r="F156" s="4" t="str">
        <x:v>m</x:v>
      </x:c>
      <x:c r="G156" s="4" t="str">
        <x:v>Builder published overall length</x:v>
      </x:c>
      <x:c r="H156" s="4" t="str">
        <x:v>Not independently measured or certificate-verified.</x:v>
      </x:c>
      <x:c r="I156" s="4" t="str">
        <x:v>B707</x:v>
      </x:c>
      <x:c r="J156" s="4" t="str">
        <x:v>https://www.oceancoyacht.com/fleet/nirvana/</x:v>
      </x:c>
      <x:c r="K156" s="28" t="n">
        <x:v>46290</x:v>
      </x:c>
    </x:row>
    <x:row r="157" ht="69" customHeight="1">
      <x:c r="A157" s="20" t="str">
        <x:v>Y707</x:v>
      </x:c>
      <x:c r="B157" s="20" t="str">
        <x:v>Nirvana</x:v>
      </x:c>
      <x:c r="C157" s="22" t="str">
        <x:v>1011202</x:v>
      </x:c>
      <x:c r="D157" s="4" t="str">
        <x:v>Preferred published beam</x:v>
      </x:c>
      <x:c r="E157" s="4" t="n">
        <x:v>14.2</x:v>
      </x:c>
      <x:c r="F157" s="4" t="str">
        <x:v>m</x:v>
      </x:c>
      <x:c r="G157" s="4" t="str">
        <x:v>Builder published overall beam</x:v>
      </x:c>
      <x:c r="H157" s="4" t="str">
        <x:v>Not moulded breadth unless source explicitly says so.</x:v>
      </x:c>
      <x:c r="I157" s="4" t="str">
        <x:v>B707</x:v>
      </x:c>
      <x:c r="J157" s="4" t="str">
        <x:v>https://www.oceancoyacht.com/fleet/nirvana/</x:v>
      </x:c>
      <x:c r="K157" s="28" t="n">
        <x:v>46290</x:v>
      </x:c>
    </x:row>
    <x:row r="158" ht="69" customHeight="1">
      <x:c r="A158" s="20" t="str">
        <x:v>Y707</x:v>
      </x:c>
      <x:c r="B158" s="20" t="str">
        <x:v>Nirvana</x:v>
      </x:c>
      <x:c r="C158" s="22" t="str">
        <x:v>1011202</x:v>
      </x:c>
      <x:c r="D158" s="4" t="str">
        <x:v>Working gross tonnage</x:v>
      </x:c>
      <x:c r="E158" s="4" t="n">
        <x:v>2786</x:v>
      </x:c>
      <x:c r="F158" s="4" t="str">
        <x:v>GT</x:v>
      </x:c>
      <x:c r="G158" s="4" t="str">
        <x:v>Database static GT</x:v>
      </x:c>
      <x:c r="H158" s="4" t="str">
        <x:v>GT is not mass/displacement.</x:v>
      </x:c>
      <x:c r="I158" s="4" t="str">
        <x:v>V707</x:v>
      </x:c>
      <x:c r="J158" s="4" t="str">
        <x:v>https://www.vesselfinder.com/vessels/details/1011202</x:v>
      </x:c>
      <x:c r="K158" s="28" t="n">
        <x:v>46290</x:v>
      </x:c>
    </x:row>
    <x:row r="159" ht="69" customHeight="1">
      <x:c r="A159" s="20" t="str">
        <x:v>Y707</x:v>
      </x:c>
      <x:c r="B159" s="20" t="str">
        <x:v>Nirvana</x:v>
      </x:c>
      <x:c r="C159" s="22" t="str">
        <x:v>1011202</x:v>
      </x:c>
      <x:c r="D159" s="4" t="str">
        <x:v>Database static LOA</x:v>
      </x:c>
      <x:c r="E159" s="4" t="n">
        <x:v>88.39</x:v>
      </x:c>
      <x:c r="F159" s="4" t="str">
        <x:v>m</x:v>
      </x:c>
      <x:c r="G159" s="4" t="str">
        <x:v>Database static specification, not AIS dimensions</x:v>
      </x:c>
      <x:c r="H159" s="4" t="str">
        <x:v>Builder LOA 88.5m; database 88.39m.</x:v>
      </x:c>
      <x:c r="I159" s="4" t="str">
        <x:v>V707</x:v>
      </x:c>
      <x:c r="J159" s="4" t="str">
        <x:v>https://www.vesselfinder.com/vessels/details/1011202</x:v>
      </x:c>
      <x:c r="K159" s="28" t="n">
        <x:v>46290</x:v>
      </x:c>
    </x:row>
    <x:row r="160" ht="69" customHeight="1">
      <x:c r="A160" s="20" t="str">
        <x:v>Y707</x:v>
      </x:c>
      <x:c r="B160" s="20" t="str">
        <x:v>Nirvana</x:v>
      </x:c>
      <x:c r="C160" s="22" t="str">
        <x:v>1011202</x:v>
      </x:c>
      <x:c r="D160" s="4" t="str">
        <x:v>Database static beam</x:v>
      </x:c>
      <x:c r="E160" s="4" t="n">
        <x:v>14.2</x:v>
      </x:c>
      <x:c r="F160" s="4" t="str">
        <x:v>m</x:v>
      </x:c>
      <x:c r="G160" s="4" t="str">
        <x:v>Database static specification, not AIS dimensions</x:v>
      </x:c>
      <x:c r="H160" s="4" t="str">
        <x:v>Builder LOA 88.5m; database 88.39m.</x:v>
      </x:c>
      <x:c r="I160" s="4" t="str">
        <x:v>V707</x:v>
      </x:c>
      <x:c r="J160" s="4" t="str">
        <x:v>https://www.vesselfinder.com/vessels/details/1011202</x:v>
      </x:c>
      <x:c r="K160" s="28" t="n">
        <x:v>46290</x:v>
      </x:c>
    </x:row>
    <x:row r="161" ht="69" customHeight="1">
      <x:c r="A161" s="20" t="str">
        <x:v>Y707</x:v>
      </x:c>
      <x:c r="B161" s="20" t="str">
        <x:v>Nirvana</x:v>
      </x:c>
      <x:c r="C161" s="22" t="str">
        <x:v>1011202</x:v>
      </x:c>
      <x:c r="D161" s="4" t="str">
        <x:v>Database static GT</x:v>
      </x:c>
      <x:c r="E161" s="4" t="n">
        <x:v>2786</x:v>
      </x:c>
      <x:c r="F161" s="4" t="str">
        <x:v>GT</x:v>
      </x:c>
      <x:c r="G161" s="4" t="str">
        <x:v>Database static specification</x:v>
      </x:c>
      <x:c r="H161" s="4" t="str">
        <x:v>Not a current International Tonnage Certificate.</x:v>
      </x:c>
      <x:c r="I161" s="4" t="str">
        <x:v>V707</x:v>
      </x:c>
      <x:c r="J161" s="4" t="str">
        <x:v>https://www.vesselfinder.com/vessels/details/1011202</x:v>
      </x:c>
      <x:c r="K161" s="28" t="n">
        <x:v>46290</x:v>
      </x:c>
    </x:row>
    <x:row r="162" ht="69" customHeight="1">
      <x:c r="A162" s="20" t="str">
        <x:v>Y707</x:v>
      </x:c>
      <x:c r="B162" s="20" t="str">
        <x:v>Nirvana</x:v>
      </x:c>
      <x:c r="C162" s="22" t="str">
        <x:v>1011202</x:v>
      </x:c>
      <x:c r="D162" s="4" t="str">
        <x:v>Exterior design</x:v>
      </x:c>
      <x:c r="E162" s="4" t="str">
        <x:v>Sam Sorgiovanni</x:v>
      </x:c>
      <x:c r="F162" s="4" t="str"/>
      <x:c r="G162" s="4" t="str">
        <x:v>Builder design credit; original build unless expressly noted</x:v>
      </x:c>
      <x:c r="H162" s="4" t="str"/>
      <x:c r="I162" s="4" t="str">
        <x:v>B707</x:v>
      </x:c>
      <x:c r="J162" s="4" t="str">
        <x:v>https://www.oceancoyacht.com/fleet/nirvana/</x:v>
      </x:c>
      <x:c r="K162" s="28" t="n">
        <x:v>46290</x:v>
      </x:c>
    </x:row>
    <x:row r="163" ht="69" customHeight="1">
      <x:c r="A163" s="20" t="str">
        <x:v>Y707</x:v>
      </x:c>
      <x:c r="B163" s="20" t="str">
        <x:v>Nirvana</x:v>
      </x:c>
      <x:c r="C163" s="22" t="str">
        <x:v>1011202</x:v>
      </x:c>
      <x:c r="D163" s="4" t="str">
        <x:v>Interior design</x:v>
      </x:c>
      <x:c r="E163" s="4" t="str">
        <x:v>Sam Sorgiovanni</x:v>
      </x:c>
      <x:c r="F163" s="4" t="str"/>
      <x:c r="G163" s="4" t="str">
        <x:v>Builder design credit; may not describe later refit</x:v>
      </x:c>
      <x:c r="H163" s="4" t="str"/>
      <x:c r="I163" s="4" t="str">
        <x:v>B707</x:v>
      </x:c>
      <x:c r="J163" s="4" t="str">
        <x:v>https://www.oceancoyacht.com/fleet/nirvana/</x:v>
      </x:c>
      <x:c r="K163" s="28" t="n">
        <x:v>46290</x:v>
      </x:c>
    </x:row>
    <x:row r="164" ht="69" customHeight="1">
      <x:c r="A164" s="20" t="str">
        <x:v>Y708</x:v>
      </x:c>
      <x:c r="B164" s="20" t="str">
        <x:v>Amore Vero</x:v>
      </x:c>
      <x:c r="C164" s="22" t="str">
        <x:v>1011757</x:v>
      </x:c>
      <x:c r="D164" s="4" t="str">
        <x:v>Yard code</x:v>
      </x:c>
      <x:c r="E164" s="4" t="str">
        <x:v>Y708</x:v>
      </x:c>
      <x:c r="F164" s="4" t="str"/>
      <x:c r="G164" s="4" t="str">
        <x:v>Public build-to-vessel cross-reference</x:v>
      </x:c>
      <x:c r="H164" s="4" t="str">
        <x:v>No builder certificate inspected.</x:v>
      </x:c>
      <x:c r="I164" s="4" t="str">
        <x:v>Y708</x:v>
      </x:c>
      <x:c r="J164" s="4" t="str">
        <x:v>https://www.charterworld.com/index.html?charter=motor-yacht-y-6303&amp;sub=yacht-charter</x:v>
      </x:c>
      <x:c r="K164" s="28" t="n">
        <x:v>46290</x:v>
      </x:c>
    </x:row>
    <x:row r="165" ht="69" customHeight="1">
      <x:c r="A165" s="20" t="str">
        <x:v>Y708</x:v>
      </x:c>
      <x:c r="B165" s="20" t="str">
        <x:v>Amore Vero</x:v>
      </x:c>
      <x:c r="C165" s="22" t="str">
        <x:v>1011757</x:v>
      </x:c>
      <x:c r="D165" s="4" t="str">
        <x:v>Current published name</x:v>
      </x:c>
      <x:c r="E165" s="4" t="str">
        <x:v>Amore Vero</x:v>
      </x:c>
      <x:c r="F165" s="4" t="str"/>
      <x:c r="G165" s="4" t="str">
        <x:v>Builder fleet publication</x:v>
      </x:c>
      <x:c r="H165" s="4" t="str">
        <x:v>Name may change after retrieval.</x:v>
      </x:c>
      <x:c r="I165" s="4" t="str">
        <x:v>B708</x:v>
      </x:c>
      <x:c r="J165" s="4" t="str">
        <x:v>https://www.oceancoyacht.com/fleet/amore-vero/</x:v>
      </x:c>
      <x:c r="K165" s="28" t="n">
        <x:v>46290</x:v>
      </x:c>
    </x:row>
    <x:row r="166" ht="69" customHeight="1">
      <x:c r="A166" s="20" t="str">
        <x:v>Y708</x:v>
      </x:c>
      <x:c r="B166" s="20" t="str">
        <x:v>Amore Vero</x:v>
      </x:c>
      <x:c r="C166" s="22" t="str">
        <x:v>1011757</x:v>
      </x:c>
      <x:c r="D166" s="4" t="str">
        <x:v>Former names / aliases</x:v>
      </x:c>
      <x:c r="E166" s="4" t="str">
        <x:v>St. Princess Olga</x:v>
      </x:c>
      <x:c r="F166" s="4" t="str"/>
      <x:c r="G166" s="4" t="str">
        <x:v>Published name history / alias</x:v>
      </x:c>
      <x:c r="H166" s="4" t="str">
        <x:v>Not a certified complete sequence; dates not inferred.</x:v>
      </x:c>
      <x:c r="I166" s="4" t="str">
        <x:v>V708</x:v>
      </x:c>
      <x:c r="J166" s="4" t="str">
        <x:v>https://www.vesselfinder.com/vessels/details/1011757</x:v>
      </x:c>
      <x:c r="K166" s="28" t="n">
        <x:v>46290</x:v>
      </x:c>
    </x:row>
    <x:row r="167" ht="69" customHeight="1">
      <x:c r="A167" s="20" t="str">
        <x:v>Y708</x:v>
      </x:c>
      <x:c r="B167" s="20" t="str">
        <x:v>Amore Vero</x:v>
      </x:c>
      <x:c r="C167" s="22" t="str">
        <x:v>1011757</x:v>
      </x:c>
      <x:c r="D167" s="4" t="str">
        <x:v>Delivered</x:v>
      </x:c>
      <x:c r="E167" s="4" t="n">
        <x:v>2013</x:v>
      </x:c>
      <x:c r="F167" s="4" t="str">
        <x:v>year</x:v>
      </x:c>
      <x:c r="G167" s="4" t="str">
        <x:v>Builder delivery year</x:v>
      </x:c>
      <x:c r="H167" s="4" t="str">
        <x:v>Do not equate with keel-laying or launch year.</x:v>
      </x:c>
      <x:c r="I167" s="4" t="str">
        <x:v>B708</x:v>
      </x:c>
      <x:c r="J167" s="4" t="str">
        <x:v>https://www.oceancoyacht.com/fleet/amore-vero/</x:v>
      </x:c>
      <x:c r="K167" s="28" t="n">
        <x:v>46290</x:v>
      </x:c>
    </x:row>
    <x:row r="168" ht="69" customHeight="1">
      <x:c r="A168" s="20" t="str">
        <x:v>Y708</x:v>
      </x:c>
      <x:c r="B168" s="20" t="str">
        <x:v>Amore Vero</x:v>
      </x:c>
      <x:c r="C168" s="22" t="str">
        <x:v>1011757</x:v>
      </x:c>
      <x:c r="D168" s="4" t="str">
        <x:v>IMO</x:v>
      </x:c>
      <x:c r="E168" s="4" t="str">
        <x:v>1011757</x:v>
      </x:c>
      <x:c r="F168" s="4" t="str"/>
      <x:c r="G168" s="4" t="str">
        <x:v>Database static vessel particulars</x:v>
      </x:c>
      <x:c r="H168" s="4" t="str">
        <x:v>Checksum passed; checksum does not independently confirm identity.</x:v>
      </x:c>
      <x:c r="I168" s="4" t="str">
        <x:v>V708</x:v>
      </x:c>
      <x:c r="J168" s="4" t="str">
        <x:v>https://www.vesselfinder.com/vessels/details/1011757</x:v>
      </x:c>
      <x:c r="K168" s="28" t="n">
        <x:v>46290</x:v>
      </x:c>
    </x:row>
    <x:row r="169" ht="69" customHeight="1">
      <x:c r="A169" s="20" t="str">
        <x:v>Y708</x:v>
      </x:c>
      <x:c r="B169" s="20" t="str">
        <x:v>Amore Vero</x:v>
      </x:c>
      <x:c r="C169" s="22" t="str">
        <x:v>1011757</x:v>
      </x:c>
      <x:c r="D169" s="4" t="str">
        <x:v>MMSI</x:v>
      </x:c>
      <x:c r="E169" s="4" t="str">
        <x:v>533132553</x:v>
      </x:c>
      <x:c r="F169" s="4" t="str"/>
      <x:c r="G169" s="4" t="str">
        <x:v>Published radio identity</x:v>
      </x:c>
      <x:c r="H169" s="4" t="str">
        <x:v>AIS header says Malaysia; static flag field says Unknown. Current registry certificate not checked.</x:v>
      </x:c>
      <x:c r="I169" s="4" t="str">
        <x:v>V708</x:v>
      </x:c>
      <x:c r="J169" s="4" t="str">
        <x:v>https://www.vesselfinder.com/vessels/details/1011757</x:v>
      </x:c>
      <x:c r="K169" s="28" t="n">
        <x:v>46290</x:v>
      </x:c>
    </x:row>
    <x:row r="170" ht="69" customHeight="1">
      <x:c r="A170" s="20" t="str">
        <x:v>Y708</x:v>
      </x:c>
      <x:c r="B170" s="20" t="str">
        <x:v>Amore Vero</x:v>
      </x:c>
      <x:c r="C170" s="22" t="str">
        <x:v>1011757</x:v>
      </x:c>
      <x:c r="D170" s="4" t="str">
        <x:v>Call sign</x:v>
      </x:c>
      <x:c r="E170" s="4" t="str">
        <x:v>9M3050</x:v>
      </x:c>
      <x:c r="F170" s="4" t="str"/>
      <x:c r="G170" s="4" t="str">
        <x:v>Published radio identity</x:v>
      </x:c>
      <x:c r="H170" s="4" t="str">
        <x:v>AIS header says Malaysia; static flag field says Unknown. Current registry certificate not checked.</x:v>
      </x:c>
      <x:c r="I170" s="4" t="str">
        <x:v>V708</x:v>
      </x:c>
      <x:c r="J170" s="4" t="str">
        <x:v>https://www.vesselfinder.com/vessels/details/1011757</x:v>
      </x:c>
      <x:c r="K170" s="28" t="n">
        <x:v>46290</x:v>
      </x:c>
    </x:row>
    <x:row r="171" ht="69" customHeight="1">
      <x:c r="A171" s="20" t="str">
        <x:v>Y708</x:v>
      </x:c>
      <x:c r="B171" s="20" t="str">
        <x:v>Amore Vero</x:v>
      </x:c>
      <x:c r="C171" s="22" t="str">
        <x:v>1011757</x:v>
      </x:c>
      <x:c r="D171" s="4" t="str">
        <x:v>Flag</x:v>
      </x:c>
      <x:c r="E171" s="4" t="str">
        <x:v>Malaysia (AIS)</x:v>
      </x:c>
      <x:c r="F171" s="4" t="str"/>
      <x:c r="G171" s="4" t="str">
        <x:v>Published flag / AIS identity</x:v>
      </x:c>
      <x:c r="H171" s="4" t="str">
        <x:v>AIS header says Malaysia; static flag field says Unknown. Current registry certificate not checked.</x:v>
      </x:c>
      <x:c r="I171" s="4" t="str">
        <x:v>V708</x:v>
      </x:c>
      <x:c r="J171" s="4" t="str">
        <x:v>https://www.vesselfinder.com/vessels/details/1011757</x:v>
      </x:c>
      <x:c r="K171" s="28" t="n">
        <x:v>46290</x:v>
      </x:c>
    </x:row>
    <x:row r="172" ht="69" customHeight="1">
      <x:c r="A172" s="20" t="str">
        <x:v>Y708</x:v>
      </x:c>
      <x:c r="B172" s="20" t="str">
        <x:v>Amore Vero</x:v>
      </x:c>
      <x:c r="C172" s="22" t="str">
        <x:v>1011757</x:v>
      </x:c>
      <x:c r="D172" s="4" t="str">
        <x:v>Preferred published LOA</x:v>
      </x:c>
      <x:c r="E172" s="4" t="n">
        <x:v>85.6</x:v>
      </x:c>
      <x:c r="F172" s="4" t="str">
        <x:v>m</x:v>
      </x:c>
      <x:c r="G172" s="4" t="str">
        <x:v>Builder published overall length</x:v>
      </x:c>
      <x:c r="H172" s="4" t="str">
        <x:v>Not independently measured or certificate-verified.</x:v>
      </x:c>
      <x:c r="I172" s="4" t="str">
        <x:v>B708</x:v>
      </x:c>
      <x:c r="J172" s="4" t="str">
        <x:v>https://www.oceancoyacht.com/fleet/amore-vero/</x:v>
      </x:c>
      <x:c r="K172" s="28" t="n">
        <x:v>46290</x:v>
      </x:c>
    </x:row>
    <x:row r="173" ht="69" customHeight="1">
      <x:c r="A173" s="20" t="str">
        <x:v>Y708</x:v>
      </x:c>
      <x:c r="B173" s="20" t="str">
        <x:v>Amore Vero</x:v>
      </x:c>
      <x:c r="C173" s="22" t="str">
        <x:v>1011757</x:v>
      </x:c>
      <x:c r="D173" s="4" t="str">
        <x:v>Preferred published beam</x:v>
      </x:c>
      <x:c r="E173" s="4" t="n">
        <x:v>14.2</x:v>
      </x:c>
      <x:c r="F173" s="4" t="str">
        <x:v>m</x:v>
      </x:c>
      <x:c r="G173" s="4" t="str">
        <x:v>Builder published overall beam</x:v>
      </x:c>
      <x:c r="H173" s="4" t="str">
        <x:v>Not moulded breadth unless source explicitly says so.</x:v>
      </x:c>
      <x:c r="I173" s="4" t="str">
        <x:v>B708</x:v>
      </x:c>
      <x:c r="J173" s="4" t="str">
        <x:v>https://www.oceancoyacht.com/fleet/amore-vero/</x:v>
      </x:c>
      <x:c r="K173" s="28" t="n">
        <x:v>46290</x:v>
      </x:c>
    </x:row>
    <x:row r="174" ht="69" customHeight="1">
      <x:c r="A174" s="20" t="str">
        <x:v>Y708</x:v>
      </x:c>
      <x:c r="B174" s="20" t="str">
        <x:v>Amore Vero</x:v>
      </x:c>
      <x:c r="C174" s="22" t="str">
        <x:v>1011757</x:v>
      </x:c>
      <x:c r="D174" s="4" t="str">
        <x:v>Working gross tonnage</x:v>
      </x:c>
      <x:c r="E174" s="4" t="n">
        <x:v>2744</x:v>
      </x:c>
      <x:c r="F174" s="4" t="str">
        <x:v>GT</x:v>
      </x:c>
      <x:c r="G174" s="4" t="str">
        <x:v>Database static GT</x:v>
      </x:c>
      <x:c r="H174" s="4" t="str">
        <x:v>GT is not mass/displacement.</x:v>
      </x:c>
      <x:c r="I174" s="4" t="str">
        <x:v>V708</x:v>
      </x:c>
      <x:c r="J174" s="4" t="str">
        <x:v>https://www.vesselfinder.com/vessels/details/1011757</x:v>
      </x:c>
      <x:c r="K174" s="28" t="n">
        <x:v>46290</x:v>
      </x:c>
    </x:row>
    <x:row r="175" ht="69" customHeight="1">
      <x:c r="A175" s="20" t="str">
        <x:v>Y708</x:v>
      </x:c>
      <x:c r="B175" s="20" t="str">
        <x:v>Amore Vero</x:v>
      </x:c>
      <x:c r="C175" s="22" t="str">
        <x:v>1011757</x:v>
      </x:c>
      <x:c r="D175" s="4" t="str">
        <x:v>Database static LOA</x:v>
      </x:c>
      <x:c r="E175" s="4" t="n">
        <x:v>88.39</x:v>
      </x:c>
      <x:c r="F175" s="4" t="str">
        <x:v>m</x:v>
      </x:c>
      <x:c r="G175" s="4" t="str">
        <x:v>Database static specification, not AIS dimensions</x:v>
      </x:c>
      <x:c r="H175" s="4" t="str">
        <x:v>Builder LOA 85.6m vs database 88.39m; do not merge these dimensions.</x:v>
      </x:c>
      <x:c r="I175" s="4" t="str">
        <x:v>V708</x:v>
      </x:c>
      <x:c r="J175" s="4" t="str">
        <x:v>https://www.vesselfinder.com/vessels/details/1011757</x:v>
      </x:c>
      <x:c r="K175" s="28" t="n">
        <x:v>46290</x:v>
      </x:c>
    </x:row>
    <x:row r="176" ht="69" customHeight="1">
      <x:c r="A176" s="20" t="str">
        <x:v>Y708</x:v>
      </x:c>
      <x:c r="B176" s="20" t="str">
        <x:v>Amore Vero</x:v>
      </x:c>
      <x:c r="C176" s="22" t="str">
        <x:v>1011757</x:v>
      </x:c>
      <x:c r="D176" s="4" t="str">
        <x:v>Database static beam</x:v>
      </x:c>
      <x:c r="E176" s="4" t="n">
        <x:v>14.2</x:v>
      </x:c>
      <x:c r="F176" s="4" t="str">
        <x:v>m</x:v>
      </x:c>
      <x:c r="G176" s="4" t="str">
        <x:v>Database static specification, not AIS dimensions</x:v>
      </x:c>
      <x:c r="H176" s="4" t="str">
        <x:v>Builder LOA 85.6m vs database 88.39m; do not merge these dimensions.</x:v>
      </x:c>
      <x:c r="I176" s="4" t="str">
        <x:v>V708</x:v>
      </x:c>
      <x:c r="J176" s="4" t="str">
        <x:v>https://www.vesselfinder.com/vessels/details/1011757</x:v>
      </x:c>
      <x:c r="K176" s="28" t="n">
        <x:v>46290</x:v>
      </x:c>
    </x:row>
    <x:row r="177" ht="69" customHeight="1">
      <x:c r="A177" s="20" t="str">
        <x:v>Y708</x:v>
      </x:c>
      <x:c r="B177" s="20" t="str">
        <x:v>Amore Vero</x:v>
      </x:c>
      <x:c r="C177" s="22" t="str">
        <x:v>1011757</x:v>
      </x:c>
      <x:c r="D177" s="4" t="str">
        <x:v>Database static GT</x:v>
      </x:c>
      <x:c r="E177" s="4" t="n">
        <x:v>2744</x:v>
      </x:c>
      <x:c r="F177" s="4" t="str">
        <x:v>GT</x:v>
      </x:c>
      <x:c r="G177" s="4" t="str">
        <x:v>Database static specification</x:v>
      </x:c>
      <x:c r="H177" s="4" t="str">
        <x:v>Not a current International Tonnage Certificate.</x:v>
      </x:c>
      <x:c r="I177" s="4" t="str">
        <x:v>V708</x:v>
      </x:c>
      <x:c r="J177" s="4" t="str">
        <x:v>https://www.vesselfinder.com/vessels/details/1011757</x:v>
      </x:c>
      <x:c r="K177" s="28" t="n">
        <x:v>46290</x:v>
      </x:c>
    </x:row>
    <x:row r="178" ht="69" customHeight="1">
      <x:c r="A178" s="20" t="str">
        <x:v>Y708</x:v>
      </x:c>
      <x:c r="B178" s="20" t="str">
        <x:v>Amore Vero</x:v>
      </x:c>
      <x:c r="C178" s="22" t="str">
        <x:v>1011757</x:v>
      </x:c>
      <x:c r="D178" s="4" t="str">
        <x:v>Exterior design</x:v>
      </x:c>
      <x:c r="E178" s="4" t="str">
        <x:v>Lobanov Design</x:v>
      </x:c>
      <x:c r="F178" s="4" t="str"/>
      <x:c r="G178" s="4" t="str">
        <x:v>Builder design credit; original build unless expressly noted</x:v>
      </x:c>
      <x:c r="H178" s="4" t="str"/>
      <x:c r="I178" s="4" t="str">
        <x:v>B708</x:v>
      </x:c>
      <x:c r="J178" s="4" t="str">
        <x:v>https://www.oceancoyacht.com/fleet/amore-vero/</x:v>
      </x:c>
      <x:c r="K178" s="28" t="n">
        <x:v>46290</x:v>
      </x:c>
    </x:row>
    <x:row r="179" ht="69" customHeight="1">
      <x:c r="A179" s="20" t="str">
        <x:v>Y708</x:v>
      </x:c>
      <x:c r="B179" s="20" t="str">
        <x:v>Amore Vero</x:v>
      </x:c>
      <x:c r="C179" s="22" t="str">
        <x:v>1011757</x:v>
      </x:c>
      <x:c r="D179" s="4" t="str">
        <x:v>Interior design</x:v>
      </x:c>
      <x:c r="E179" s="4" t="str">
        <x:v>Alberto Pinto</x:v>
      </x:c>
      <x:c r="F179" s="4" t="str"/>
      <x:c r="G179" s="4" t="str">
        <x:v>Builder design credit; may not describe later refit</x:v>
      </x:c>
      <x:c r="H179" s="4" t="str"/>
      <x:c r="I179" s="4" t="str">
        <x:v>B708</x:v>
      </x:c>
      <x:c r="J179" s="4" t="str">
        <x:v>https://www.oceancoyacht.com/fleet/amore-vero/</x:v>
      </x:c>
      <x:c r="K179" s="28" t="n">
        <x:v>46290</x:v>
      </x:c>
    </x:row>
    <x:row r="180" ht="69" customHeight="1">
      <x:c r="A180" s="20" t="str">
        <x:v>Y709</x:v>
      </x:c>
      <x:c r="B180" s="20" t="str">
        <x:v>Draak</x:v>
      </x:c>
      <x:c r="C180" s="22" t="str">
        <x:v>1012086</x:v>
      </x:c>
      <x:c r="D180" s="4" t="str">
        <x:v>Yard code</x:v>
      </x:c>
      <x:c r="E180" s="4" t="str">
        <x:v>Y709</x:v>
      </x:c>
      <x:c r="F180" s="4" t="str"/>
      <x:c r="G180" s="4" t="str">
        <x:v>Public build-to-vessel cross-reference</x:v>
      </x:c>
      <x:c r="H180" s="4" t="str">
        <x:v>No builder certificate inspected.</x:v>
      </x:c>
      <x:c r="I180" s="4" t="str">
        <x:v>PRO</x:v>
      </x:c>
      <x:c r="J180" s="4" t="str">
        <x:v>https://www.proyacht.nl/custom-yacht-refit-portfolio/</x:v>
      </x:c>
      <x:c r="K180" s="28" t="n">
        <x:v>46290</x:v>
      </x:c>
    </x:row>
    <x:row r="181" ht="69" customHeight="1">
      <x:c r="A181" s="20" t="str">
        <x:v>Y709</x:v>
      </x:c>
      <x:c r="B181" s="20" t="str">
        <x:v>Draak</x:v>
      </x:c>
      <x:c r="C181" s="22" t="str">
        <x:v>1012086</x:v>
      </x:c>
      <x:c r="D181" s="4" t="str">
        <x:v>Current published name</x:v>
      </x:c>
      <x:c r="E181" s="4" t="str">
        <x:v>Draak</x:v>
      </x:c>
      <x:c r="F181" s="4" t="str"/>
      <x:c r="G181" s="4" t="str">
        <x:v>Builder fleet publication</x:v>
      </x:c>
      <x:c r="H181" s="4" t="str">
        <x:v>Name may change after retrieval.</x:v>
      </x:c>
      <x:c r="I181" s="4" t="str">
        <x:v>B709</x:v>
      </x:c>
      <x:c r="J181" s="4" t="str">
        <x:v>https://www.oceancoyacht.com/fleet/draak/</x:v>
      </x:c>
      <x:c r="K181" s="28" t="n">
        <x:v>46290</x:v>
      </x:c>
    </x:row>
    <x:row r="182" ht="69" customHeight="1">
      <x:c r="A182" s="20" t="str">
        <x:v>Y709</x:v>
      </x:c>
      <x:c r="B182" s="20" t="str">
        <x:v>Draak</x:v>
      </x:c>
      <x:c r="C182" s="22" t="str">
        <x:v>1012086</x:v>
      </x:c>
      <x:c r="D182" s="4" t="str">
        <x:v>Former names / aliases</x:v>
      </x:c>
      <x:c r="E182" s="4" t="str">
        <x:v>Equanimity; Tranquility</x:v>
      </x:c>
      <x:c r="F182" s="4" t="str"/>
      <x:c r="G182" s="4" t="str">
        <x:v>Published name history / alias</x:v>
      </x:c>
      <x:c r="H182" s="4" t="str">
        <x:v>Not a certified complete sequence; dates not inferred.</x:v>
      </x:c>
      <x:c r="I182" s="4" t="str">
        <x:v>V709</x:v>
      </x:c>
      <x:c r="J182" s="4" t="str">
        <x:v>https://www.vesselfinder.com/vessels/details/1012086</x:v>
      </x:c>
      <x:c r="K182" s="28" t="n">
        <x:v>46290</x:v>
      </x:c>
    </x:row>
    <x:row r="183" ht="69" customHeight="1">
      <x:c r="A183" s="20" t="str">
        <x:v>Y709</x:v>
      </x:c>
      <x:c r="B183" s="20" t="str">
        <x:v>Draak</x:v>
      </x:c>
      <x:c r="C183" s="22" t="str">
        <x:v>1012086</x:v>
      </x:c>
      <x:c r="D183" s="4" t="str">
        <x:v>Delivered</x:v>
      </x:c>
      <x:c r="E183" s="4" t="n">
        <x:v>2014</x:v>
      </x:c>
      <x:c r="F183" s="4" t="str">
        <x:v>year</x:v>
      </x:c>
      <x:c r="G183" s="4" t="str">
        <x:v>Builder delivery year</x:v>
      </x:c>
      <x:c r="H183" s="4" t="str">
        <x:v>Do not equate with keel-laying or launch year.</x:v>
      </x:c>
      <x:c r="I183" s="4" t="str">
        <x:v>B709</x:v>
      </x:c>
      <x:c r="J183" s="4" t="str">
        <x:v>https://www.oceancoyacht.com/fleet/draak/</x:v>
      </x:c>
      <x:c r="K183" s="28" t="n">
        <x:v>46290</x:v>
      </x:c>
    </x:row>
    <x:row r="184" ht="69" customHeight="1">
      <x:c r="A184" s="20" t="str">
        <x:v>Y709</x:v>
      </x:c>
      <x:c r="B184" s="20" t="str">
        <x:v>Draak</x:v>
      </x:c>
      <x:c r="C184" s="22" t="str">
        <x:v>1012086</x:v>
      </x:c>
      <x:c r="D184" s="4" t="str">
        <x:v>IMO</x:v>
      </x:c>
      <x:c r="E184" s="4" t="str">
        <x:v>1012086</x:v>
      </x:c>
      <x:c r="F184" s="4" t="str"/>
      <x:c r="G184" s="4" t="str">
        <x:v>Database static vessel particulars</x:v>
      </x:c>
      <x:c r="H184" s="4" t="str">
        <x:v>Checksum passed; checksum does not independently confirm identity.</x:v>
      </x:c>
      <x:c r="I184" s="4" t="str">
        <x:v>V709</x:v>
      </x:c>
      <x:c r="J184" s="4" t="str">
        <x:v>https://www.vesselfinder.com/vessels/details/1012086</x:v>
      </x:c>
      <x:c r="K184" s="28" t="n">
        <x:v>46290</x:v>
      </x:c>
    </x:row>
    <x:row r="185" ht="69" customHeight="1">
      <x:c r="A185" s="20" t="str">
        <x:v>Y709</x:v>
      </x:c>
      <x:c r="B185" s="20" t="str">
        <x:v>Draak</x:v>
      </x:c>
      <x:c r="C185" s="22" t="str">
        <x:v>1012086</x:v>
      </x:c>
      <x:c r="D185" s="4" t="str">
        <x:v>MMSI</x:v>
      </x:c>
      <x:c r="E185" s="4" t="str">
        <x:v>319059800</x:v>
      </x:c>
      <x:c r="F185" s="4" t="str"/>
      <x:c r="G185" s="4" t="str">
        <x:v>Published radio identity</x:v>
      </x:c>
      <x:c r="H185" s="4" t="str">
        <x:v>Published database identity; current registry/radio licence not inspected.</x:v>
      </x:c>
      <x:c r="I185" s="4" t="str">
        <x:v>V709</x:v>
      </x:c>
      <x:c r="J185" s="4" t="str">
        <x:v>https://www.vesselfinder.com/vessels/details/1012086</x:v>
      </x:c>
      <x:c r="K185" s="28" t="n">
        <x:v>46290</x:v>
      </x:c>
    </x:row>
    <x:row r="186" ht="69" customHeight="1">
      <x:c r="A186" s="20" t="str">
        <x:v>Y709</x:v>
      </x:c>
      <x:c r="B186" s="20" t="str">
        <x:v>Draak</x:v>
      </x:c>
      <x:c r="C186" s="22" t="str">
        <x:v>1012086</x:v>
      </x:c>
      <x:c r="D186" s="4" t="str">
        <x:v>Call sign</x:v>
      </x:c>
      <x:c r="E186" s="4" t="str">
        <x:v>ZGDQ</x:v>
      </x:c>
      <x:c r="F186" s="4" t="str"/>
      <x:c r="G186" s="4" t="str">
        <x:v>Published radio identity</x:v>
      </x:c>
      <x:c r="H186" s="4" t="str">
        <x:v>Published database identity; current registry/radio licence not inspected.</x:v>
      </x:c>
      <x:c r="I186" s="4" t="str">
        <x:v>V709</x:v>
      </x:c>
      <x:c r="J186" s="4" t="str">
        <x:v>https://www.vesselfinder.com/vessels/details/1012086</x:v>
      </x:c>
      <x:c r="K186" s="28" t="n">
        <x:v>46290</x:v>
      </x:c>
    </x:row>
    <x:row r="187" ht="69" customHeight="1">
      <x:c r="A187" s="20" t="str">
        <x:v>Y709</x:v>
      </x:c>
      <x:c r="B187" s="20" t="str">
        <x:v>Draak</x:v>
      </x:c>
      <x:c r="C187" s="22" t="str">
        <x:v>1012086</x:v>
      </x:c>
      <x:c r="D187" s="4" t="str">
        <x:v>Flag</x:v>
      </x:c>
      <x:c r="E187" s="4" t="str">
        <x:v>Cayman Islands</x:v>
      </x:c>
      <x:c r="F187" s="4" t="str"/>
      <x:c r="G187" s="4" t="str">
        <x:v>Published flag / AIS identity</x:v>
      </x:c>
      <x:c r="H187" s="4" t="str">
        <x:v>Published database identity; current registry/radio licence not inspected.</x:v>
      </x:c>
      <x:c r="I187" s="4" t="str">
        <x:v>V709</x:v>
      </x:c>
      <x:c r="J187" s="4" t="str">
        <x:v>https://www.vesselfinder.com/vessels/details/1012086</x:v>
      </x:c>
      <x:c r="K187" s="28" t="n">
        <x:v>46290</x:v>
      </x:c>
    </x:row>
    <x:row r="188" ht="69" customHeight="1">
      <x:c r="A188" s="20" t="str">
        <x:v>Y709</x:v>
      </x:c>
      <x:c r="B188" s="20" t="str">
        <x:v>Draak</x:v>
      </x:c>
      <x:c r="C188" s="22" t="str">
        <x:v>1012086</x:v>
      </x:c>
      <x:c r="D188" s="4" t="str">
        <x:v>Preferred published LOA</x:v>
      </x:c>
      <x:c r="E188" s="4" t="n">
        <x:v>92.9</x:v>
      </x:c>
      <x:c r="F188" s="4" t="str">
        <x:v>m</x:v>
      </x:c>
      <x:c r="G188" s="4" t="str">
        <x:v>Builder published overall length</x:v>
      </x:c>
      <x:c r="H188" s="4" t="str">
        <x:v>Not independently measured or certificate-verified.</x:v>
      </x:c>
      <x:c r="I188" s="4" t="str">
        <x:v>B709</x:v>
      </x:c>
      <x:c r="J188" s="4" t="str">
        <x:v>https://www.oceancoyacht.com/fleet/draak/</x:v>
      </x:c>
      <x:c r="K188" s="28" t="n">
        <x:v>46290</x:v>
      </x:c>
    </x:row>
    <x:row r="189" ht="69" customHeight="1">
      <x:c r="A189" s="20" t="str">
        <x:v>Y709</x:v>
      </x:c>
      <x:c r="B189" s="20" t="str">
        <x:v>Draak</x:v>
      </x:c>
      <x:c r="C189" s="22" t="str">
        <x:v>1012086</x:v>
      </x:c>
      <x:c r="D189" s="4" t="str">
        <x:v>Preferred published beam</x:v>
      </x:c>
      <x:c r="E189" s="4" t="n">
        <x:v>14.5</x:v>
      </x:c>
      <x:c r="F189" s="4" t="str">
        <x:v>m</x:v>
      </x:c>
      <x:c r="G189" s="4" t="str">
        <x:v>Builder published overall beam</x:v>
      </x:c>
      <x:c r="H189" s="4" t="str">
        <x:v>Not moulded breadth unless source explicitly says so.</x:v>
      </x:c>
      <x:c r="I189" s="4" t="str">
        <x:v>B709</x:v>
      </x:c>
      <x:c r="J189" s="4" t="str">
        <x:v>https://www.oceancoyacht.com/fleet/draak/</x:v>
      </x:c>
      <x:c r="K189" s="28" t="n">
        <x:v>46290</x:v>
      </x:c>
    </x:row>
    <x:row r="190" ht="69" customHeight="1">
      <x:c r="A190" s="20" t="str">
        <x:v>Y709</x:v>
      </x:c>
      <x:c r="B190" s="20" t="str">
        <x:v>Draak</x:v>
      </x:c>
      <x:c r="C190" s="22" t="str">
        <x:v>1012086</x:v>
      </x:c>
      <x:c r="D190" s="4" t="str">
        <x:v>Working gross tonnage</x:v>
      </x:c>
      <x:c r="E190" s="4" t="n">
        <x:v>2894</x:v>
      </x:c>
      <x:c r="F190" s="4" t="str">
        <x:v>GT</x:v>
      </x:c>
      <x:c r="G190" s="4" t="str">
        <x:v>Database static GT</x:v>
      </x:c>
      <x:c r="H190" s="4" t="str">
        <x:v>Builder 92.9 x 14.5m after June 2026 rebuild. Database 91.5 x 14.6m / 2894GT may be pre-refit; obtain new ITC.</x:v>
      </x:c>
      <x:c r="I190" s="4" t="str">
        <x:v>V709</x:v>
      </x:c>
      <x:c r="J190" s="4" t="str">
        <x:v>https://www.vesselfinder.com/vessels/details/1012086</x:v>
      </x:c>
      <x:c r="K190" s="28" t="n">
        <x:v>46290</x:v>
      </x:c>
    </x:row>
    <x:row r="191" ht="69" customHeight="1">
      <x:c r="A191" s="20" t="str">
        <x:v>Y709</x:v>
      </x:c>
      <x:c r="B191" s="20" t="str">
        <x:v>Draak</x:v>
      </x:c>
      <x:c r="C191" s="22" t="str">
        <x:v>1012086</x:v>
      </x:c>
      <x:c r="D191" s="4" t="str">
        <x:v>Database static LOA</x:v>
      </x:c>
      <x:c r="E191" s="4" t="n">
        <x:v>91.5</x:v>
      </x:c>
      <x:c r="F191" s="4" t="str">
        <x:v>m</x:v>
      </x:c>
      <x:c r="G191" s="4" t="str">
        <x:v>Database static specification, not AIS dimensions</x:v>
      </x:c>
      <x:c r="H191" s="4" t="str">
        <x:v>Builder 92.9 x 14.5m after June 2026 rebuild. Database 91.5 x 14.6m / 2894GT may be pre-refit; obtain new ITC.</x:v>
      </x:c>
      <x:c r="I191" s="4" t="str">
        <x:v>V709</x:v>
      </x:c>
      <x:c r="J191" s="4" t="str">
        <x:v>https://www.vesselfinder.com/vessels/details/1012086</x:v>
      </x:c>
      <x:c r="K191" s="28" t="n">
        <x:v>46290</x:v>
      </x:c>
    </x:row>
    <x:row r="192" ht="69" customHeight="1">
      <x:c r="A192" s="20" t="str">
        <x:v>Y709</x:v>
      </x:c>
      <x:c r="B192" s="20" t="str">
        <x:v>Draak</x:v>
      </x:c>
      <x:c r="C192" s="22" t="str">
        <x:v>1012086</x:v>
      </x:c>
      <x:c r="D192" s="4" t="str">
        <x:v>Database static beam</x:v>
      </x:c>
      <x:c r="E192" s="4" t="n">
        <x:v>14.6</x:v>
      </x:c>
      <x:c r="F192" s="4" t="str">
        <x:v>m</x:v>
      </x:c>
      <x:c r="G192" s="4" t="str">
        <x:v>Database static specification, not AIS dimensions</x:v>
      </x:c>
      <x:c r="H192" s="4" t="str">
        <x:v>Builder 92.9 x 14.5m after June 2026 rebuild. Database 91.5 x 14.6m / 2894GT may be pre-refit; obtain new ITC.</x:v>
      </x:c>
      <x:c r="I192" s="4" t="str">
        <x:v>V709</x:v>
      </x:c>
      <x:c r="J192" s="4" t="str">
        <x:v>https://www.vesselfinder.com/vessels/details/1012086</x:v>
      </x:c>
      <x:c r="K192" s="28" t="n">
        <x:v>46290</x:v>
      </x:c>
    </x:row>
    <x:row r="193" ht="69" customHeight="1">
      <x:c r="A193" s="20" t="str">
        <x:v>Y709</x:v>
      </x:c>
      <x:c r="B193" s="20" t="str">
        <x:v>Draak</x:v>
      </x:c>
      <x:c r="C193" s="22" t="str">
        <x:v>1012086</x:v>
      </x:c>
      <x:c r="D193" s="4" t="str">
        <x:v>Database static GT</x:v>
      </x:c>
      <x:c r="E193" s="4" t="n">
        <x:v>2894</x:v>
      </x:c>
      <x:c r="F193" s="4" t="str">
        <x:v>GT</x:v>
      </x:c>
      <x:c r="G193" s="4" t="str">
        <x:v>Database static specification</x:v>
      </x:c>
      <x:c r="H193" s="4" t="str">
        <x:v>Not a current International Tonnage Certificate.</x:v>
      </x:c>
      <x:c r="I193" s="4" t="str">
        <x:v>V709</x:v>
      </x:c>
      <x:c r="J193" s="4" t="str">
        <x:v>https://www.vesselfinder.com/vessels/details/1012086</x:v>
      </x:c>
      <x:c r="K193" s="28" t="n">
        <x:v>46290</x:v>
      </x:c>
    </x:row>
    <x:row r="194" ht="69" customHeight="1">
      <x:c r="A194" s="20" t="str">
        <x:v>Y709</x:v>
      </x:c>
      <x:c r="B194" s="20" t="str">
        <x:v>Draak</x:v>
      </x:c>
      <x:c r="C194" s="22" t="str">
        <x:v>1012086</x:v>
      </x:c>
      <x:c r="D194" s="4" t="str">
        <x:v>Latest refit/rebuild identified</x:v>
      </x:c>
      <x:c r="E194" s="4" t="n">
        <x:v>2026</x:v>
      </x:c>
      <x:c r="F194" s="4" t="str">
        <x:v>year</x:v>
      </x:c>
      <x:c r="G194" s="4" t="str">
        <x:v>Builder announcement: rebuild completed June 2026</x:v>
      </x:c>
      <x:c r="H194" s="4" t="str"/>
      <x:c r="I194" s="4" t="str">
        <x:v>DRAAK26</x:v>
      </x:c>
      <x:c r="J194" s="4" t="str">
        <x:v>https://www.oceancoyacht.com/leviathan-and-draak-at-the-2026-monaco-yacht-show/</x:v>
      </x:c>
      <x:c r="K194" s="28" t="n">
        <x:v>46290</x:v>
      </x:c>
    </x:row>
    <x:row r="195" ht="69" customHeight="1">
      <x:c r="A195" s="20" t="str">
        <x:v>Y709</x:v>
      </x:c>
      <x:c r="B195" s="20" t="str">
        <x:v>Draak</x:v>
      </x:c>
      <x:c r="C195" s="22" t="str">
        <x:v>1012086</x:v>
      </x:c>
      <x:c r="D195" s="4" t="str">
        <x:v>Selected publicly described features</x:v>
      </x:c>
      <x:c r="E195" s="4" t="str">
        <x:v>Dive centre; medical room; hyperbaric chamber; scientific work facilities</x:v>
      </x:c>
      <x:c r="F195" s="4" t="str"/>
      <x:c r="G195" s="4" t="str">
        <x:v>2026 rebuild announcement</x:v>
      </x:c>
      <x:c r="H195" s="4" t="str"/>
      <x:c r="I195" s="4" t="str">
        <x:v>DRAAK26</x:v>
      </x:c>
      <x:c r="J195" s="4" t="str">
        <x:v>https://www.oceancoyacht.com/leviathan-and-draak-at-the-2026-monaco-yacht-show/</x:v>
      </x:c>
      <x:c r="K195" s="28" t="n">
        <x:v>46290</x:v>
      </x:c>
    </x:row>
    <x:row r="196" ht="69" customHeight="1">
      <x:c r="A196" s="20" t="str">
        <x:v>Y710</x:v>
      </x:c>
      <x:c r="B196" s="20" t="str">
        <x:v>Samsara</x:v>
      </x:c>
      <x:c r="C196" s="22" t="str">
        <x:v>1012177</x:v>
      </x:c>
      <x:c r="D196" s="4" t="str">
        <x:v>Yard code</x:v>
      </x:c>
      <x:c r="E196" s="4" t="str">
        <x:v>Y710</x:v>
      </x:c>
      <x:c r="F196" s="4" t="str"/>
      <x:c r="G196" s="4" t="str">
        <x:v>Public build-to-vessel cross-reference</x:v>
      </x:c>
      <x:c r="H196" s="4" t="str">
        <x:v>No builder certificate inspected.</x:v>
      </x:c>
      <x:c r="I196" s="4" t="str">
        <x:v>TC</x:v>
      </x:c>
      <x:c r="J196" s="4" t="str">
        <x:v>https://tech-consul.nl/projects</x:v>
      </x:c>
      <x:c r="K196" s="28" t="n">
        <x:v>46290</x:v>
      </x:c>
    </x:row>
    <x:row r="197" ht="69" customHeight="1">
      <x:c r="A197" s="20" t="str">
        <x:v>Y710</x:v>
      </x:c>
      <x:c r="B197" s="20" t="str">
        <x:v>Samsara</x:v>
      </x:c>
      <x:c r="C197" s="22" t="str">
        <x:v>1012177</x:v>
      </x:c>
      <x:c r="D197" s="4" t="str">
        <x:v>Current published name</x:v>
      </x:c>
      <x:c r="E197" s="4" t="str">
        <x:v>Samsara</x:v>
      </x:c>
      <x:c r="F197" s="4" t="str"/>
      <x:c r="G197" s="4" t="str">
        <x:v>Builder fleet publication</x:v>
      </x:c>
      <x:c r="H197" s="4" t="str">
        <x:v>Name may change after retrieval.</x:v>
      </x:c>
      <x:c r="I197" s="4" t="str">
        <x:v>B710</x:v>
      </x:c>
      <x:c r="J197" s="4" t="str">
        <x:v>https://www.oceancoyacht.com/fleet/samsara/</x:v>
      </x:c>
      <x:c r="K197" s="28" t="n">
        <x:v>46290</x:v>
      </x:c>
    </x:row>
    <x:row r="198" ht="69" customHeight="1">
      <x:c r="A198" s="20" t="str">
        <x:v>Y710</x:v>
      </x:c>
      <x:c r="B198" s="20" t="str">
        <x:v>Samsara</x:v>
      </x:c>
      <x:c r="C198" s="22" t="str">
        <x:v>1012177</x:v>
      </x:c>
      <x:c r="D198" s="4" t="str">
        <x:v>Former names / aliases</x:v>
      </x:c>
      <x:c r="E198" s="4" t="str">
        <x:v>Infinity (89m); Cloud 9</x:v>
      </x:c>
      <x:c r="F198" s="4" t="str"/>
      <x:c r="G198" s="4" t="str">
        <x:v>Published name history / alias</x:v>
      </x:c>
      <x:c r="H198" s="4" t="str">
        <x:v>Not a certified complete sequence; dates not inferred.</x:v>
      </x:c>
      <x:c r="I198" s="4" t="str">
        <x:v>V710</x:v>
      </x:c>
      <x:c r="J198" s="4" t="str">
        <x:v>https://www.vesselfinder.com/vessels/details/1012177</x:v>
      </x:c>
      <x:c r="K198" s="28" t="n">
        <x:v>46290</x:v>
      </x:c>
    </x:row>
    <x:row r="199" ht="69" customHeight="1">
      <x:c r="A199" s="20" t="str">
        <x:v>Y710</x:v>
      </x:c>
      <x:c r="B199" s="20" t="str">
        <x:v>Samsara</x:v>
      </x:c>
      <x:c r="C199" s="22" t="str">
        <x:v>1012177</x:v>
      </x:c>
      <x:c r="D199" s="4" t="str">
        <x:v>Delivered</x:v>
      </x:c>
      <x:c r="E199" s="4" t="n">
        <x:v>2015</x:v>
      </x:c>
      <x:c r="F199" s="4" t="str">
        <x:v>year</x:v>
      </x:c>
      <x:c r="G199" s="4" t="str">
        <x:v>Builder delivery year</x:v>
      </x:c>
      <x:c r="H199" s="4" t="str">
        <x:v>Do not equate with keel-laying or launch year.</x:v>
      </x:c>
      <x:c r="I199" s="4" t="str">
        <x:v>B710</x:v>
      </x:c>
      <x:c r="J199" s="4" t="str">
        <x:v>https://www.oceancoyacht.com/fleet/samsara/</x:v>
      </x:c>
      <x:c r="K199" s="28" t="n">
        <x:v>46290</x:v>
      </x:c>
    </x:row>
    <x:row r="200" ht="69" customHeight="1">
      <x:c r="A200" s="20" t="str">
        <x:v>Y710</x:v>
      </x:c>
      <x:c r="B200" s="20" t="str">
        <x:v>Samsara</x:v>
      </x:c>
      <x:c r="C200" s="22" t="str">
        <x:v>1012177</x:v>
      </x:c>
      <x:c r="D200" s="4" t="str">
        <x:v>IMO</x:v>
      </x:c>
      <x:c r="E200" s="4" t="str">
        <x:v>1012177</x:v>
      </x:c>
      <x:c r="F200" s="4" t="str"/>
      <x:c r="G200" s="4" t="str">
        <x:v>Database static vessel particulars</x:v>
      </x:c>
      <x:c r="H200" s="4" t="str">
        <x:v>Checksum passed; checksum does not independently confirm identity.</x:v>
      </x:c>
      <x:c r="I200" s="4" t="str">
        <x:v>V710</x:v>
      </x:c>
      <x:c r="J200" s="4" t="str">
        <x:v>https://www.vesselfinder.com/vessels/details/1012177</x:v>
      </x:c>
      <x:c r="K200" s="28" t="n">
        <x:v>46290</x:v>
      </x:c>
    </x:row>
    <x:row r="201" ht="69" customHeight="1">
      <x:c r="A201" s="20" t="str">
        <x:v>Y710</x:v>
      </x:c>
      <x:c r="B201" s="20" t="str">
        <x:v>Samsara</x:v>
      </x:c>
      <x:c r="C201" s="22" t="str">
        <x:v>1012177</x:v>
      </x:c>
      <x:c r="D201" s="4" t="str">
        <x:v>MMSI</x:v>
      </x:c>
      <x:c r="E201" s="4" t="str">
        <x:v>319068100</x:v>
      </x:c>
      <x:c r="F201" s="4" t="str"/>
      <x:c r="G201" s="4" t="str">
        <x:v>Published radio identity</x:v>
      </x:c>
      <x:c r="H201" s="4" t="str">
        <x:v>MMSI/call/flag supplemented from MagicPort; VesselFinder AIS identity header incomplete.</x:v>
      </x:c>
      <x:c r="I201" s="4" t="str">
        <x:v>MP710</x:v>
      </x:c>
      <x:c r="J201" s="4" t="str">
        <x:v>https://magicport.ai/vessels/pleasure-craft/samsara-mmsi-319068100</x:v>
      </x:c>
      <x:c r="K201" s="28" t="n">
        <x:v>46290</x:v>
      </x:c>
    </x:row>
    <x:row r="202" ht="69" customHeight="1">
      <x:c r="A202" s="20" t="str">
        <x:v>Y710</x:v>
      </x:c>
      <x:c r="B202" s="20" t="str">
        <x:v>Samsara</x:v>
      </x:c>
      <x:c r="C202" s="22" t="str">
        <x:v>1012177</x:v>
      </x:c>
      <x:c r="D202" s="4" t="str">
        <x:v>Call sign</x:v>
      </x:c>
      <x:c r="E202" s="4" t="str">
        <x:v>ZGEC5</x:v>
      </x:c>
      <x:c r="F202" s="4" t="str"/>
      <x:c r="G202" s="4" t="str">
        <x:v>Published radio identity</x:v>
      </x:c>
      <x:c r="H202" s="4" t="str">
        <x:v>MMSI/call/flag supplemented from MagicPort; VesselFinder AIS identity header incomplete.</x:v>
      </x:c>
      <x:c r="I202" s="4" t="str">
        <x:v>MP710</x:v>
      </x:c>
      <x:c r="J202" s="4" t="str">
        <x:v>https://magicport.ai/vessels/pleasure-craft/samsara-mmsi-319068100</x:v>
      </x:c>
      <x:c r="K202" s="28" t="n">
        <x:v>46290</x:v>
      </x:c>
    </x:row>
    <x:row r="203" ht="69" customHeight="1">
      <x:c r="A203" s="20" t="str">
        <x:v>Y710</x:v>
      </x:c>
      <x:c r="B203" s="20" t="str">
        <x:v>Samsara</x:v>
      </x:c>
      <x:c r="C203" s="22" t="str">
        <x:v>1012177</x:v>
      </x:c>
      <x:c r="D203" s="4" t="str">
        <x:v>Flag</x:v>
      </x:c>
      <x:c r="E203" s="4" t="str">
        <x:v>Cayman Islands</x:v>
      </x:c>
      <x:c r="F203" s="4" t="str"/>
      <x:c r="G203" s="4" t="str">
        <x:v>Published flag / AIS identity</x:v>
      </x:c>
      <x:c r="H203" s="4" t="str">
        <x:v>MMSI/call/flag supplemented from MagicPort; VesselFinder AIS identity header incomplete.</x:v>
      </x:c>
      <x:c r="I203" s="4" t="str">
        <x:v>MP710</x:v>
      </x:c>
      <x:c r="J203" s="4" t="str">
        <x:v>https://magicport.ai/vessels/pleasure-craft/samsara-mmsi-319068100</x:v>
      </x:c>
      <x:c r="K203" s="28" t="n">
        <x:v>46290</x:v>
      </x:c>
    </x:row>
    <x:row r="204" ht="69" customHeight="1">
      <x:c r="A204" s="20" t="str">
        <x:v>Y710</x:v>
      </x:c>
      <x:c r="B204" s="20" t="str">
        <x:v>Samsara</x:v>
      </x:c>
      <x:c r="C204" s="22" t="str">
        <x:v>1012177</x:v>
      </x:c>
      <x:c r="D204" s="4" t="str">
        <x:v>Preferred published LOA</x:v>
      </x:c>
      <x:c r="E204" s="4" t="n">
        <x:v>89</x:v>
      </x:c>
      <x:c r="F204" s="4" t="str">
        <x:v>m</x:v>
      </x:c>
      <x:c r="G204" s="4" t="str">
        <x:v>Builder published overall length</x:v>
      </x:c>
      <x:c r="H204" s="4" t="str">
        <x:v>Not independently measured or certificate-verified.</x:v>
      </x:c>
      <x:c r="I204" s="4" t="str">
        <x:v>B710</x:v>
      </x:c>
      <x:c r="J204" s="4" t="str">
        <x:v>https://www.oceancoyacht.com/fleet/samsara/</x:v>
      </x:c>
      <x:c r="K204" s="28" t="n">
        <x:v>46290</x:v>
      </x:c>
    </x:row>
    <x:row r="205" ht="69" customHeight="1">
      <x:c r="A205" s="20" t="str">
        <x:v>Y710</x:v>
      </x:c>
      <x:c r="B205" s="20" t="str">
        <x:v>Samsara</x:v>
      </x:c>
      <x:c r="C205" s="22" t="str">
        <x:v>1012177</x:v>
      </x:c>
      <x:c r="D205" s="4" t="str">
        <x:v>Preferred published beam</x:v>
      </x:c>
      <x:c r="E205" s="4" t="n">
        <x:v>14.2</x:v>
      </x:c>
      <x:c r="F205" s="4" t="str">
        <x:v>m</x:v>
      </x:c>
      <x:c r="G205" s="4" t="str">
        <x:v>Builder published overall beam</x:v>
      </x:c>
      <x:c r="H205" s="4" t="str">
        <x:v>Not moulded breadth unless source explicitly says so.</x:v>
      </x:c>
      <x:c r="I205" s="4" t="str">
        <x:v>B710</x:v>
      </x:c>
      <x:c r="J205" s="4" t="str">
        <x:v>https://www.oceancoyacht.com/fleet/samsara/</x:v>
      </x:c>
      <x:c r="K205" s="28" t="n">
        <x:v>46290</x:v>
      </x:c>
    </x:row>
    <x:row r="206" ht="69" customHeight="1">
      <x:c r="A206" s="20" t="str">
        <x:v>Y710</x:v>
      </x:c>
      <x:c r="B206" s="20" t="str">
        <x:v>Samsara</x:v>
      </x:c>
      <x:c r="C206" s="22" t="str">
        <x:v>1012177</x:v>
      </x:c>
      <x:c r="D206" s="4" t="str">
        <x:v>Working gross tonnage</x:v>
      </x:c>
      <x:c r="E206" s="4" t="n">
        <x:v>2914</x:v>
      </x:c>
      <x:c r="F206" s="4" t="str">
        <x:v>GT</x:v>
      </x:c>
      <x:c r="G206" s="4" t="str">
        <x:v>Database static GT</x:v>
      </x:c>
      <x:c r="H206" s="4" t="str">
        <x:v>GT is not mass/displacement.</x:v>
      </x:c>
      <x:c r="I206" s="4" t="str">
        <x:v>V710</x:v>
      </x:c>
      <x:c r="J206" s="4" t="str">
        <x:v>https://www.vesselfinder.com/vessels/details/1012177</x:v>
      </x:c>
      <x:c r="K206" s="28" t="n">
        <x:v>46290</x:v>
      </x:c>
    </x:row>
    <x:row r="207" ht="69" customHeight="1">
      <x:c r="A207" s="20" t="str">
        <x:v>Y710</x:v>
      </x:c>
      <x:c r="B207" s="20" t="str">
        <x:v>Samsara</x:v>
      </x:c>
      <x:c r="C207" s="22" t="str">
        <x:v>1012177</x:v>
      </x:c>
      <x:c r="D207" s="4" t="str">
        <x:v>Database static LOA</x:v>
      </x:c>
      <x:c r="E207" s="4" t="n">
        <x:v>89</x:v>
      </x:c>
      <x:c r="F207" s="4" t="str">
        <x:v>m</x:v>
      </x:c>
      <x:c r="G207" s="4" t="str">
        <x:v>Database static specification, not AIS dimensions</x:v>
      </x:c>
      <x:c r="H207" s="4" t="str">
        <x:v>Builder beam 14.2m vs database 14.0m. Distinct from 117m Infinity.</x:v>
      </x:c>
      <x:c r="I207" s="4" t="str">
        <x:v>V710</x:v>
      </x:c>
      <x:c r="J207" s="4" t="str">
        <x:v>https://www.vesselfinder.com/vessels/details/1012177</x:v>
      </x:c>
      <x:c r="K207" s="28" t="n">
        <x:v>46290</x:v>
      </x:c>
    </x:row>
    <x:row r="208" ht="69" customHeight="1">
      <x:c r="A208" s="20" t="str">
        <x:v>Y710</x:v>
      </x:c>
      <x:c r="B208" s="20" t="str">
        <x:v>Samsara</x:v>
      </x:c>
      <x:c r="C208" s="22" t="str">
        <x:v>1012177</x:v>
      </x:c>
      <x:c r="D208" s="4" t="str">
        <x:v>Database static beam</x:v>
      </x:c>
      <x:c r="E208" s="4" t="n">
        <x:v>14</x:v>
      </x:c>
      <x:c r="F208" s="4" t="str">
        <x:v>m</x:v>
      </x:c>
      <x:c r="G208" s="4" t="str">
        <x:v>Database static specification, not AIS dimensions</x:v>
      </x:c>
      <x:c r="H208" s="4" t="str">
        <x:v>Builder beam 14.2m vs database 14.0m. Distinct from 117m Infinity.</x:v>
      </x:c>
      <x:c r="I208" s="4" t="str">
        <x:v>V710</x:v>
      </x:c>
      <x:c r="J208" s="4" t="str">
        <x:v>https://www.vesselfinder.com/vessels/details/1012177</x:v>
      </x:c>
      <x:c r="K208" s="28" t="n">
        <x:v>46290</x:v>
      </x:c>
    </x:row>
    <x:row r="209" ht="69" customHeight="1">
      <x:c r="A209" s="20" t="str">
        <x:v>Y710</x:v>
      </x:c>
      <x:c r="B209" s="20" t="str">
        <x:v>Samsara</x:v>
      </x:c>
      <x:c r="C209" s="22" t="str">
        <x:v>1012177</x:v>
      </x:c>
      <x:c r="D209" s="4" t="str">
        <x:v>Database static GT</x:v>
      </x:c>
      <x:c r="E209" s="4" t="n">
        <x:v>2914</x:v>
      </x:c>
      <x:c r="F209" s="4" t="str">
        <x:v>GT</x:v>
      </x:c>
      <x:c r="G209" s="4" t="str">
        <x:v>Database static specification</x:v>
      </x:c>
      <x:c r="H209" s="4" t="str">
        <x:v>Not a current International Tonnage Certificate.</x:v>
      </x:c>
      <x:c r="I209" s="4" t="str">
        <x:v>V710</x:v>
      </x:c>
      <x:c r="J209" s="4" t="str">
        <x:v>https://www.vesselfinder.com/vessels/details/1012177</x:v>
      </x:c>
      <x:c r="K209" s="28" t="n">
        <x:v>46290</x:v>
      </x:c>
    </x:row>
    <x:row r="210" ht="69" customHeight="1">
      <x:c r="A210" s="20" t="str">
        <x:v>Y710</x:v>
      </x:c>
      <x:c r="B210" s="20" t="str">
        <x:v>Samsara</x:v>
      </x:c>
      <x:c r="C210" s="22" t="str">
        <x:v>1012177</x:v>
      </x:c>
      <x:c r="D210" s="4" t="str">
        <x:v>Database deadweight</x:v>
      </x:c>
      <x:c r="E210" s="4" t="n">
        <x:v>387</x:v>
      </x:c>
      <x:c r="F210" s="4" t="str">
        <x:v>t</x:v>
      </x:c>
      <x:c r="G210" s="4" t="str">
        <x:v>Database static specification</x:v>
      </x:c>
      <x:c r="H210" s="4" t="str">
        <x:v>Deadweight is not displacement or gross tonnage.</x:v>
      </x:c>
      <x:c r="I210" s="4" t="str">
        <x:v>V710</x:v>
      </x:c>
      <x:c r="J210" s="4" t="str">
        <x:v>https://www.vesselfinder.com/vessels/details/1012177</x:v>
      </x:c>
      <x:c r="K210" s="28" t="n">
        <x:v>46290</x:v>
      </x:c>
    </x:row>
    <x:row r="211" ht="69" customHeight="1">
      <x:c r="A211" s="20" t="str">
        <x:v>Y710</x:v>
      </x:c>
      <x:c r="B211" s="20" t="str">
        <x:v>Samsara</x:v>
      </x:c>
      <x:c r="C211" s="22" t="str">
        <x:v>1012177</x:v>
      </x:c>
      <x:c r="D211" s="4" t="str">
        <x:v>Exterior design</x:v>
      </x:c>
      <x:c r="E211" s="4" t="str">
        <x:v>Espen Øino</x:v>
      </x:c>
      <x:c r="F211" s="4" t="str"/>
      <x:c r="G211" s="4" t="str">
        <x:v>Builder design credit; original build unless expressly noted</x:v>
      </x:c>
      <x:c r="H211" s="4" t="str"/>
      <x:c r="I211" s="4" t="str">
        <x:v>B710</x:v>
      </x:c>
      <x:c r="J211" s="4" t="str">
        <x:v>https://www.oceancoyacht.com/fleet/samsara/</x:v>
      </x:c>
      <x:c r="K211" s="28" t="n">
        <x:v>46290</x:v>
      </x:c>
    </x:row>
    <x:row r="212" ht="69" customHeight="1">
      <x:c r="A212" s="20" t="str">
        <x:v>Y710</x:v>
      </x:c>
      <x:c r="B212" s="20" t="str">
        <x:v>Samsara</x:v>
      </x:c>
      <x:c r="C212" s="22" t="str">
        <x:v>1012177</x:v>
      </x:c>
      <x:c r="D212" s="4" t="str">
        <x:v>Interior design</x:v>
      </x:c>
      <x:c r="E212" s="4" t="str">
        <x:v>Sinot; David Kleinberg</x:v>
      </x:c>
      <x:c r="F212" s="4" t="str"/>
      <x:c r="G212" s="4" t="str">
        <x:v>Builder design credit; may not describe later refit</x:v>
      </x:c>
      <x:c r="H212" s="4" t="str"/>
      <x:c r="I212" s="4" t="str">
        <x:v>B710</x:v>
      </x:c>
      <x:c r="J212" s="4" t="str">
        <x:v>https://www.oceancoyacht.com/fleet/samsara/</x:v>
      </x:c>
      <x:c r="K212" s="28" t="n">
        <x:v>46290</x:v>
      </x:c>
    </x:row>
    <x:row r="213" ht="69" customHeight="1">
      <x:c r="A213" s="20" t="str">
        <x:v>Y711</x:v>
      </x:c>
      <x:c r="B213" s="20" t="str">
        <x:v>AQuiJo</x:v>
      </x:c>
      <x:c r="C213" s="22" t="str">
        <x:v>1012529</x:v>
      </x:c>
      <x:c r="D213" s="4" t="str">
        <x:v>Yard code</x:v>
      </x:c>
      <x:c r="E213" s="4" t="str">
        <x:v>Y711</x:v>
      </x:c>
      <x:c r="F213" s="4" t="str"/>
      <x:c r="G213" s="4" t="str">
        <x:v>Public build-to-vessel cross-reference</x:v>
      </x:c>
      <x:c r="H213" s="4" t="str">
        <x:v>No builder certificate inspected.</x:v>
      </x:c>
      <x:c r="I213" s="4" t="str">
        <x:v>TC</x:v>
      </x:c>
      <x:c r="J213" s="4" t="str">
        <x:v>https://tech-consul.nl/projects</x:v>
      </x:c>
      <x:c r="K213" s="28" t="n">
        <x:v>46290</x:v>
      </x:c>
    </x:row>
    <x:row r="214" ht="69" customHeight="1">
      <x:c r="A214" s="20" t="str">
        <x:v>Y711</x:v>
      </x:c>
      <x:c r="B214" s="20" t="str">
        <x:v>AQuiJo</x:v>
      </x:c>
      <x:c r="C214" s="22" t="str">
        <x:v>1012529</x:v>
      </x:c>
      <x:c r="D214" s="4" t="str">
        <x:v>Current published name</x:v>
      </x:c>
      <x:c r="E214" s="4" t="str">
        <x:v>AQuiJo</x:v>
      </x:c>
      <x:c r="F214" s="4" t="str"/>
      <x:c r="G214" s="4" t="str">
        <x:v>Builder fleet publication</x:v>
      </x:c>
      <x:c r="H214" s="4" t="str">
        <x:v>Name may change after retrieval.</x:v>
      </x:c>
      <x:c r="I214" s="4" t="str">
        <x:v>B711</x:v>
      </x:c>
      <x:c r="J214" s="4" t="str">
        <x:v>https://www.oceancoyacht.com/fleet/aquijo/</x:v>
      </x:c>
      <x:c r="K214" s="28" t="n">
        <x:v>46290</x:v>
      </x:c>
    </x:row>
    <x:row r="215" ht="69" customHeight="1">
      <x:c r="A215" s="20" t="str">
        <x:v>Y711</x:v>
      </x:c>
      <x:c r="B215" s="20" t="str">
        <x:v>AQuiJo</x:v>
      </x:c>
      <x:c r="C215" s="22" t="str">
        <x:v>1012529</x:v>
      </x:c>
      <x:c r="D215" s="4" t="str">
        <x:v>Delivered</x:v>
      </x:c>
      <x:c r="E215" s="4" t="n">
        <x:v>2016</x:v>
      </x:c>
      <x:c r="F215" s="4" t="str">
        <x:v>year</x:v>
      </x:c>
      <x:c r="G215" s="4" t="str">
        <x:v>Builder delivery year</x:v>
      </x:c>
      <x:c r="H215" s="4" t="str">
        <x:v>Do not equate with keel-laying or launch year.</x:v>
      </x:c>
      <x:c r="I215" s="4" t="str">
        <x:v>B711</x:v>
      </x:c>
      <x:c r="J215" s="4" t="str">
        <x:v>https://www.oceancoyacht.com/fleet/aquijo/</x:v>
      </x:c>
      <x:c r="K215" s="28" t="n">
        <x:v>46290</x:v>
      </x:c>
    </x:row>
    <x:row r="216" ht="69" customHeight="1">
      <x:c r="A216" s="20" t="str">
        <x:v>Y711</x:v>
      </x:c>
      <x:c r="B216" s="20" t="str">
        <x:v>AQuiJo</x:v>
      </x:c>
      <x:c r="C216" s="22" t="str">
        <x:v>1012529</x:v>
      </x:c>
      <x:c r="D216" s="4" t="str">
        <x:v>IMO</x:v>
      </x:c>
      <x:c r="E216" s="4" t="str">
        <x:v>1012529</x:v>
      </x:c>
      <x:c r="F216" s="4" t="str"/>
      <x:c r="G216" s="4" t="str">
        <x:v>Database static vessel particulars</x:v>
      </x:c>
      <x:c r="H216" s="4" t="str">
        <x:v>Checksum passed; checksum does not independently confirm identity.</x:v>
      </x:c>
      <x:c r="I216" s="4" t="str">
        <x:v>V711</x:v>
      </x:c>
      <x:c r="J216" s="4" t="str">
        <x:v>https://www.vesselfinder.com/vessels/details/1012529</x:v>
      </x:c>
      <x:c r="K216" s="28" t="n">
        <x:v>46290</x:v>
      </x:c>
    </x:row>
    <x:row r="217" ht="69" customHeight="1">
      <x:c r="A217" s="20" t="str">
        <x:v>Y711</x:v>
      </x:c>
      <x:c r="B217" s="20" t="str">
        <x:v>AQuiJo</x:v>
      </x:c>
      <x:c r="C217" s="22" t="str">
        <x:v>1012529</x:v>
      </x:c>
      <x:c r="D217" s="4" t="str">
        <x:v>MMSI</x:v>
      </x:c>
      <x:c r="E217" s="4" t="str">
        <x:v>319085900</x:v>
      </x:c>
      <x:c r="F217" s="4" t="str"/>
      <x:c r="G217" s="4" t="str">
        <x:v>Published radio identity</x:v>
      </x:c>
      <x:c r="H217" s="4" t="str">
        <x:v>VesselFinder showed an AIS report approximately 303 days old. Registration freshness not confirmed.</x:v>
      </x:c>
      <x:c r="I217" s="4" t="str">
        <x:v>V711</x:v>
      </x:c>
      <x:c r="J217" s="4" t="str">
        <x:v>https://www.vesselfinder.com/vessels/details/1012529</x:v>
      </x:c>
      <x:c r="K217" s="28" t="n">
        <x:v>46290</x:v>
      </x:c>
    </x:row>
    <x:row r="218" ht="69" customHeight="1">
      <x:c r="A218" s="20" t="str">
        <x:v>Y711</x:v>
      </x:c>
      <x:c r="B218" s="20" t="str">
        <x:v>AQuiJo</x:v>
      </x:c>
      <x:c r="C218" s="22" t="str">
        <x:v>1012529</x:v>
      </x:c>
      <x:c r="D218" s="4" t="str">
        <x:v>Call sign</x:v>
      </x:c>
      <x:c r="E218" s="4" t="str">
        <x:v>ZGFC8</x:v>
      </x:c>
      <x:c r="F218" s="4" t="str"/>
      <x:c r="G218" s="4" t="str">
        <x:v>Published radio identity</x:v>
      </x:c>
      <x:c r="H218" s="4" t="str">
        <x:v>VesselFinder showed an AIS report approximately 303 days old. Registration freshness not confirmed.</x:v>
      </x:c>
      <x:c r="I218" s="4" t="str">
        <x:v>V711</x:v>
      </x:c>
      <x:c r="J218" s="4" t="str">
        <x:v>https://www.vesselfinder.com/vessels/details/1012529</x:v>
      </x:c>
      <x:c r="K218" s="28" t="n">
        <x:v>46290</x:v>
      </x:c>
    </x:row>
    <x:row r="219" ht="69" customHeight="1">
      <x:c r="A219" s="20" t="str">
        <x:v>Y711</x:v>
      </x:c>
      <x:c r="B219" s="20" t="str">
        <x:v>AQuiJo</x:v>
      </x:c>
      <x:c r="C219" s="22" t="str">
        <x:v>1012529</x:v>
      </x:c>
      <x:c r="D219" s="4" t="str">
        <x:v>Flag</x:v>
      </x:c>
      <x:c r="E219" s="4" t="str">
        <x:v>Cayman Islands</x:v>
      </x:c>
      <x:c r="F219" s="4" t="str"/>
      <x:c r="G219" s="4" t="str">
        <x:v>Published flag / AIS identity</x:v>
      </x:c>
      <x:c r="H219" s="4" t="str">
        <x:v>VesselFinder showed an AIS report approximately 303 days old. Registration freshness not confirmed.</x:v>
      </x:c>
      <x:c r="I219" s="4" t="str">
        <x:v>V711</x:v>
      </x:c>
      <x:c r="J219" s="4" t="str">
        <x:v>https://www.vesselfinder.com/vessels/details/1012529</x:v>
      </x:c>
      <x:c r="K219" s="28" t="n">
        <x:v>46290</x:v>
      </x:c>
    </x:row>
    <x:row r="220" ht="69" customHeight="1">
      <x:c r="A220" s="20" t="str">
        <x:v>Y711</x:v>
      </x:c>
      <x:c r="B220" s="20" t="str">
        <x:v>AQuiJo</x:v>
      </x:c>
      <x:c r="C220" s="22" t="str">
        <x:v>1012529</x:v>
      </x:c>
      <x:c r="D220" s="4" t="str">
        <x:v>Preferred published LOA</x:v>
      </x:c>
      <x:c r="E220" s="4" t="n">
        <x:v>85</x:v>
      </x:c>
      <x:c r="F220" s="4" t="str">
        <x:v>m</x:v>
      </x:c>
      <x:c r="G220" s="4" t="str">
        <x:v>Builder published overall length</x:v>
      </x:c>
      <x:c r="H220" s="4" t="str">
        <x:v>Not independently measured or certificate-verified.</x:v>
      </x:c>
      <x:c r="I220" s="4" t="str">
        <x:v>B711</x:v>
      </x:c>
      <x:c r="J220" s="4" t="str">
        <x:v>https://www.oceancoyacht.com/fleet/aquijo/</x:v>
      </x:c>
      <x:c r="K220" s="28" t="n">
        <x:v>46290</x:v>
      </x:c>
    </x:row>
    <x:row r="221" ht="69" customHeight="1">
      <x:c r="A221" s="20" t="str">
        <x:v>Y711</x:v>
      </x:c>
      <x:c r="B221" s="20" t="str">
        <x:v>AQuiJo</x:v>
      </x:c>
      <x:c r="C221" s="22" t="str">
        <x:v>1012529</x:v>
      </x:c>
      <x:c r="D221" s="4" t="str">
        <x:v>Preferred published beam</x:v>
      </x:c>
      <x:c r="E221" s="4" t="n">
        <x:v>14.5</x:v>
      </x:c>
      <x:c r="F221" s="4" t="str">
        <x:v>m</x:v>
      </x:c>
      <x:c r="G221" s="4" t="str">
        <x:v>Builder published overall beam</x:v>
      </x:c>
      <x:c r="H221" s="4" t="str">
        <x:v>Not moulded breadth unless source explicitly says so.</x:v>
      </x:c>
      <x:c r="I221" s="4" t="str">
        <x:v>B711</x:v>
      </x:c>
      <x:c r="J221" s="4" t="str">
        <x:v>https://www.oceancoyacht.com/fleet/aquijo/</x:v>
      </x:c>
      <x:c r="K221" s="28" t="n">
        <x:v>46290</x:v>
      </x:c>
    </x:row>
    <x:row r="222" ht="69" customHeight="1">
      <x:c r="A222" s="20" t="str">
        <x:v>Y711</x:v>
      </x:c>
      <x:c r="B222" s="20" t="str">
        <x:v>AQuiJo</x:v>
      </x:c>
      <x:c r="C222" s="22" t="str">
        <x:v>1012529</x:v>
      </x:c>
      <x:c r="D222" s="4" t="str">
        <x:v>Working gross tonnage</x:v>
      </x:c>
      <x:c r="E222" s="4" t="n">
        <x:v>1540</x:v>
      </x:c>
      <x:c r="F222" s="4" t="str">
        <x:v>GT</x:v>
      </x:c>
      <x:c r="G222" s="4" t="str">
        <x:v>Database static GT</x:v>
      </x:c>
      <x:c r="H222" s="4" t="str">
        <x:v>Builder LOA 85m vs broker 86m. Database 1540GT vs Y.CO 1538GT; both unverified.</x:v>
      </x:c>
      <x:c r="I222" s="4" t="str">
        <x:v>V711</x:v>
      </x:c>
      <x:c r="J222" s="4" t="str">
        <x:v>https://www.vesselfinder.com/vessels/details/1012529</x:v>
      </x:c>
      <x:c r="K222" s="28" t="n">
        <x:v>46290</x:v>
      </x:c>
    </x:row>
    <x:row r="223" ht="69" customHeight="1">
      <x:c r="A223" s="20" t="str">
        <x:v>Y711</x:v>
      </x:c>
      <x:c r="B223" s="20" t="str">
        <x:v>AQuiJo</x:v>
      </x:c>
      <x:c r="C223" s="22" t="str">
        <x:v>1012529</x:v>
      </x:c>
      <x:c r="D223" s="4" t="str">
        <x:v>Database static LOA</x:v>
      </x:c>
      <x:c r="E223" s="4" t="n">
        <x:v>85</x:v>
      </x:c>
      <x:c r="F223" s="4" t="str">
        <x:v>m</x:v>
      </x:c>
      <x:c r="G223" s="4" t="str">
        <x:v>Database static specification, not AIS dimensions</x:v>
      </x:c>
      <x:c r="H223" s="4" t="str">
        <x:v>Builder LOA 85m vs broker 86m. Database 1540GT vs Y.CO 1538GT; both unverified.</x:v>
      </x:c>
      <x:c r="I223" s="4" t="str">
        <x:v>V711</x:v>
      </x:c>
      <x:c r="J223" s="4" t="str">
        <x:v>https://www.vesselfinder.com/vessels/details/1012529</x:v>
      </x:c>
      <x:c r="K223" s="28" t="n">
        <x:v>46290</x:v>
      </x:c>
    </x:row>
    <x:row r="224" ht="69" customHeight="1">
      <x:c r="A224" s="20" t="str">
        <x:v>Y711</x:v>
      </x:c>
      <x:c r="B224" s="20" t="str">
        <x:v>AQuiJo</x:v>
      </x:c>
      <x:c r="C224" s="22" t="str">
        <x:v>1012529</x:v>
      </x:c>
      <x:c r="D224" s="4" t="str">
        <x:v>Database static beam</x:v>
      </x:c>
      <x:c r="E224" s="4" t="n">
        <x:v>14.4</x:v>
      </x:c>
      <x:c r="F224" s="4" t="str">
        <x:v>m</x:v>
      </x:c>
      <x:c r="G224" s="4" t="str">
        <x:v>Database static specification, not AIS dimensions</x:v>
      </x:c>
      <x:c r="H224" s="4" t="str">
        <x:v>Builder LOA 85m vs broker 86m. Database 1540GT vs Y.CO 1538GT; both unverified.</x:v>
      </x:c>
      <x:c r="I224" s="4" t="str">
        <x:v>V711</x:v>
      </x:c>
      <x:c r="J224" s="4" t="str">
        <x:v>https://www.vesselfinder.com/vessels/details/1012529</x:v>
      </x:c>
      <x:c r="K224" s="28" t="n">
        <x:v>46290</x:v>
      </x:c>
    </x:row>
    <x:row r="225" ht="69" customHeight="1">
      <x:c r="A225" s="20" t="str">
        <x:v>Y711</x:v>
      </x:c>
      <x:c r="B225" s="20" t="str">
        <x:v>AQuiJo</x:v>
      </x:c>
      <x:c r="C225" s="22" t="str">
        <x:v>1012529</x:v>
      </x:c>
      <x:c r="D225" s="4" t="str">
        <x:v>Database static GT</x:v>
      </x:c>
      <x:c r="E225" s="4" t="n">
        <x:v>1540</x:v>
      </x:c>
      <x:c r="F225" s="4" t="str">
        <x:v>GT</x:v>
      </x:c>
      <x:c r="G225" s="4" t="str">
        <x:v>Database static specification</x:v>
      </x:c>
      <x:c r="H225" s="4" t="str">
        <x:v>Not a current International Tonnage Certificate.</x:v>
      </x:c>
      <x:c r="I225" s="4" t="str">
        <x:v>V711</x:v>
      </x:c>
      <x:c r="J225" s="4" t="str">
        <x:v>https://www.vesselfinder.com/vessels/details/1012529</x:v>
      </x:c>
      <x:c r="K225" s="28" t="n">
        <x:v>46290</x:v>
      </x:c>
    </x:row>
    <x:row r="226" ht="69" customHeight="1">
      <x:c r="A226" s="20" t="str">
        <x:v>Y711</x:v>
      </x:c>
      <x:c r="B226" s="20" t="str">
        <x:v>AQuiJo</x:v>
      </x:c>
      <x:c r="C226" s="22" t="str">
        <x:v>1012529</x:v>
      </x:c>
      <x:c r="D226" s="4" t="str">
        <x:v>Database deadweight</x:v>
      </x:c>
      <x:c r="E226" s="4" t="n">
        <x:v>199</x:v>
      </x:c>
      <x:c r="F226" s="4" t="str">
        <x:v>t</x:v>
      </x:c>
      <x:c r="G226" s="4" t="str">
        <x:v>Database static specification</x:v>
      </x:c>
      <x:c r="H226" s="4" t="str">
        <x:v>Deadweight is not displacement or gross tonnage.</x:v>
      </x:c>
      <x:c r="I226" s="4" t="str">
        <x:v>V711</x:v>
      </x:c>
      <x:c r="J226" s="4" t="str">
        <x:v>https://www.vesselfinder.com/vessels/details/1012529</x:v>
      </x:c>
      <x:c r="K226" s="28" t="n">
        <x:v>46290</x:v>
      </x:c>
    </x:row>
    <x:row r="227" ht="69" customHeight="1">
      <x:c r="A227" s="20" t="str">
        <x:v>Y711</x:v>
      </x:c>
      <x:c r="B227" s="20" t="str">
        <x:v>AQuiJo</x:v>
      </x:c>
      <x:c r="C227" s="22" t="str">
        <x:v>1012529</x:v>
      </x:c>
      <x:c r="D227" s="4" t="str">
        <x:v>Published draft</x:v>
      </x:c>
      <x:c r="E227" s="4" t="n">
        <x:v>5.3</x:v>
      </x:c>
      <x:c r="F227" s="4" t="str">
        <x:v>m</x:v>
      </x:c>
      <x:c r="G227" s="4" t="str">
        <x:v>Published specification; not certificate-verified</x:v>
      </x:c>
      <x:c r="H227" s="4" t="str">
        <x:v>Published draft; operating/keel condition not specified in extracted data.</x:v>
      </x:c>
      <x:c r="I227" s="4" t="str">
        <x:v>YC711</x:v>
      </x:c>
      <x:c r="J227" s="4" t="str">
        <x:v>https://y.co/yacht/aquijo</x:v>
      </x:c>
      <x:c r="K227" s="28" t="n">
        <x:v>46290</x:v>
      </x:c>
    </x:row>
    <x:row r="228" ht="69" customHeight="1">
      <x:c r="A228" s="20" t="str">
        <x:v>Y711</x:v>
      </x:c>
      <x:c r="B228" s="20" t="str">
        <x:v>AQuiJo</x:v>
      </x:c>
      <x:c r="C228" s="22" t="str">
        <x:v>1012529</x:v>
      </x:c>
      <x:c r="D228" s="4" t="str">
        <x:v>Exterior design</x:v>
      </x:c>
      <x:c r="E228" s="4" t="str">
        <x:v>Tripp Design</x:v>
      </x:c>
      <x:c r="F228" s="4" t="str"/>
      <x:c r="G228" s="4" t="str">
        <x:v>Builder design credit; original build unless expressly noted</x:v>
      </x:c>
      <x:c r="H228" s="4" t="str"/>
      <x:c r="I228" s="4" t="str">
        <x:v>B711</x:v>
      </x:c>
      <x:c r="J228" s="4" t="str">
        <x:v>https://www.oceancoyacht.com/fleet/aquijo/</x:v>
      </x:c>
      <x:c r="K228" s="28" t="n">
        <x:v>46290</x:v>
      </x:c>
    </x:row>
    <x:row r="229" ht="69" customHeight="1">
      <x:c r="A229" s="20" t="str">
        <x:v>Y711</x:v>
      </x:c>
      <x:c r="B229" s="20" t="str">
        <x:v>AQuiJo</x:v>
      </x:c>
      <x:c r="C229" s="22" t="str">
        <x:v>1012529</x:v>
      </x:c>
      <x:c r="D229" s="4" t="str">
        <x:v>Interior design</x:v>
      </x:c>
      <x:c r="E229" s="4" t="str">
        <x:v>Dölker + Voges</x:v>
      </x:c>
      <x:c r="F229" s="4" t="str"/>
      <x:c r="G229" s="4" t="str">
        <x:v>Builder design credit; may not describe later refit</x:v>
      </x:c>
      <x:c r="H229" s="4" t="str"/>
      <x:c r="I229" s="4" t="str">
        <x:v>B711</x:v>
      </x:c>
      <x:c r="J229" s="4" t="str">
        <x:v>https://www.oceancoyacht.com/fleet/aquijo/</x:v>
      </x:c>
      <x:c r="K229" s="28" t="n">
        <x:v>46290</x:v>
      </x:c>
    </x:row>
    <x:row r="230" ht="69" customHeight="1">
      <x:c r="A230" s="20" t="str">
        <x:v>Y711</x:v>
      </x:c>
      <x:c r="B230" s="20" t="str">
        <x:v>AQuiJo</x:v>
      </x:c>
      <x:c r="C230" s="22" t="str">
        <x:v>1012529</x:v>
      </x:c>
      <x:c r="D230" s="4" t="str">
        <x:v>Published guests</x:v>
      </x:c>
      <x:c r="E230" s="4" t="n">
        <x:v>12</x:v>
      </x:c>
      <x:c r="F230" s="4" t="str">
        <x:v>persons</x:v>
      </x:c>
      <x:c r="G230" s="4" t="str">
        <x:v>Published specification; not certificate-verified</x:v>
      </x:c>
      <x:c r="H230" s="4" t="str"/>
      <x:c r="I230" s="4" t="str">
        <x:v>YC711</x:v>
      </x:c>
      <x:c r="J230" s="4" t="str">
        <x:v>https://y.co/yacht/aquijo</x:v>
      </x:c>
      <x:c r="K230" s="28" t="n">
        <x:v>46290</x:v>
      </x:c>
    </x:row>
    <x:row r="231" ht="69" customHeight="1">
      <x:c r="A231" s="20" t="str">
        <x:v>Y711</x:v>
      </x:c>
      <x:c r="B231" s="20" t="str">
        <x:v>AQuiJo</x:v>
      </x:c>
      <x:c r="C231" s="22" t="str">
        <x:v>1012529</x:v>
      </x:c>
      <x:c r="D231" s="4" t="str">
        <x:v>Published guest cabins</x:v>
      </x:c>
      <x:c r="E231" s="4" t="n">
        <x:v>7</x:v>
      </x:c>
      <x:c r="F231" s="4" t="str">
        <x:v>cabins</x:v>
      </x:c>
      <x:c r="G231" s="4" t="str">
        <x:v>Published specification; not certificate-verified</x:v>
      </x:c>
      <x:c r="H231" s="4" t="str"/>
      <x:c r="I231" s="4" t="str">
        <x:v>YC711</x:v>
      </x:c>
      <x:c r="J231" s="4" t="str">
        <x:v>https://y.co/yacht/aquijo</x:v>
      </x:c>
      <x:c r="K231" s="28" t="n">
        <x:v>46290</x:v>
      </x:c>
    </x:row>
    <x:row r="232" ht="69" customHeight="1">
      <x:c r="A232" s="20" t="str">
        <x:v>Y711</x:v>
      </x:c>
      <x:c r="B232" s="20" t="str">
        <x:v>AQuiJo</x:v>
      </x:c>
      <x:c r="C232" s="22" t="str">
        <x:v>1012529</x:v>
      </x:c>
      <x:c r="D232" s="4" t="str">
        <x:v>Published crew</x:v>
      </x:c>
      <x:c r="E232" s="4" t="n">
        <x:v>17</x:v>
      </x:c>
      <x:c r="F232" s="4" t="str">
        <x:v>persons</x:v>
      </x:c>
      <x:c r="G232" s="4" t="str">
        <x:v>Published specification; not certificate-verified</x:v>
      </x:c>
      <x:c r="H232" s="4" t="str"/>
      <x:c r="I232" s="4" t="str">
        <x:v>YC711</x:v>
      </x:c>
      <x:c r="J232" s="4" t="str">
        <x:v>https://y.co/yacht/aquijo</x:v>
      </x:c>
      <x:c r="K232" s="28" t="n">
        <x:v>46290</x:v>
      </x:c>
    </x:row>
    <x:row r="233" ht="69" customHeight="1">
      <x:c r="A233" s="20" t="str">
        <x:v>Y711</x:v>
      </x:c>
      <x:c r="B233" s="20" t="str">
        <x:v>AQuiJo</x:v>
      </x:c>
      <x:c r="C233" s="22" t="str">
        <x:v>1012529</x:v>
      </x:c>
      <x:c r="D233" s="4" t="str">
        <x:v>Published maximum speed (mode unspecified)</x:v>
      </x:c>
      <x:c r="E233" s="4" t="n">
        <x:v>17</x:v>
      </x:c>
      <x:c r="F233" s="4" t="str">
        <x:v>kn</x:v>
      </x:c>
      <x:c r="G233" s="4" t="str">
        <x:v>Broker publication</x:v>
      </x:c>
      <x:c r="H233" s="4" t="str">
        <x:v>Not loaded into motor-speed or sailing-speed columns because mode is not specified.</x:v>
      </x:c>
      <x:c r="I233" s="4" t="str">
        <x:v>YC711</x:v>
      </x:c>
      <x:c r="J233" s="4" t="str">
        <x:v>https://y.co/yacht/aquijo</x:v>
      </x:c>
      <x:c r="K233" s="28" t="n">
        <x:v>46290</x:v>
      </x:c>
    </x:row>
    <x:row r="234" ht="69" customHeight="1">
      <x:c r="A234" s="20" t="str">
        <x:v>Y711</x:v>
      </x:c>
      <x:c r="B234" s="20" t="str">
        <x:v>AQuiJo</x:v>
      </x:c>
      <x:c r="C234" s="22" t="str">
        <x:v>1012529</x:v>
      </x:c>
      <x:c r="D234" s="4" t="str">
        <x:v>Broker LOA</x:v>
      </x:c>
      <x:c r="E234" s="4" t="n">
        <x:v>86</x:v>
      </x:c>
      <x:c r="F234" s="4" t="str">
        <x:v>m</x:v>
      </x:c>
      <x:c r="G234" s="4" t="str">
        <x:v>Broker publication</x:v>
      </x:c>
      <x:c r="H234" s="4" t="str">
        <x:v>Builder 85m; retain both.</x:v>
      </x:c>
      <x:c r="I234" s="4" t="str">
        <x:v>YC711</x:v>
      </x:c>
      <x:c r="J234" s="4" t="str">
        <x:v>https://y.co/yacht/aquijo</x:v>
      </x:c>
      <x:c r="K234" s="28" t="n">
        <x:v>46290</x:v>
      </x:c>
    </x:row>
    <x:row r="235" ht="69" customHeight="1">
      <x:c r="A235" s="20" t="str">
        <x:v>Y711</x:v>
      </x:c>
      <x:c r="B235" s="20" t="str">
        <x:v>AQuiJo</x:v>
      </x:c>
      <x:c r="C235" s="22" t="str">
        <x:v>1012529</x:v>
      </x:c>
      <x:c r="D235" s="4" t="str">
        <x:v>Broker gross tonnage</x:v>
      </x:c>
      <x:c r="E235" s="4" t="n">
        <x:v>1538</x:v>
      </x:c>
      <x:c r="F235" s="4" t="str">
        <x:v>GT</x:v>
      </x:c>
      <x:c r="G235" s="4" t="str">
        <x:v>Broker publication</x:v>
      </x:c>
      <x:c r="H235" s="4" t="str">
        <x:v>Database 1540GT; statutory ITC required to settle difference.</x:v>
      </x:c>
      <x:c r="I235" s="4" t="str">
        <x:v>YC711</x:v>
      </x:c>
      <x:c r="J235" s="4" t="str">
        <x:v>https://y.co/yacht/aquijo</x:v>
      </x:c>
      <x:c r="K235" s="28" t="n">
        <x:v>46290</x:v>
      </x:c>
    </x:row>
    <x:row r="236" ht="69" customHeight="1">
      <x:c r="A236" s="20" t="str">
        <x:v>Y712</x:v>
      </x:c>
      <x:c r="B236" s="20" t="str">
        <x:v>Black Pearl</x:v>
      </x:c>
      <x:c r="C236" s="22" t="str">
        <x:v>1012490</x:v>
      </x:c>
      <x:c r="D236" s="4" t="str">
        <x:v>Yard code</x:v>
      </x:c>
      <x:c r="E236" s="4" t="str">
        <x:v>Y712</x:v>
      </x:c>
      <x:c r="F236" s="4" t="str"/>
      <x:c r="G236" s="4" t="str">
        <x:v>Public build-to-vessel cross-reference</x:v>
      </x:c>
      <x:c r="H236" s="4" t="str">
        <x:v>No builder certificate inspected.</x:v>
      </x:c>
      <x:c r="I236" s="4" t="str">
        <x:v>Y712</x:v>
      </x:c>
      <x:c r="J236" s="4" t="str">
        <x:v>https://www.myshiptracking.com/vessels/oceanco-y712-mmsi-244020868-imo-1012490</x:v>
      </x:c>
      <x:c r="K236" s="28" t="n">
        <x:v>46290</x:v>
      </x:c>
    </x:row>
    <x:row r="237" ht="69" customHeight="1">
      <x:c r="A237" s="20" t="str">
        <x:v>Y712</x:v>
      </x:c>
      <x:c r="B237" s="20" t="str">
        <x:v>Black Pearl</x:v>
      </x:c>
      <x:c r="C237" s="22" t="str">
        <x:v>1012490</x:v>
      </x:c>
      <x:c r="D237" s="4" t="str">
        <x:v>Current published name</x:v>
      </x:c>
      <x:c r="E237" s="4" t="str">
        <x:v>Black Pearl</x:v>
      </x:c>
      <x:c r="F237" s="4" t="str"/>
      <x:c r="G237" s="4" t="str">
        <x:v>Builder fleet publication</x:v>
      </x:c>
      <x:c r="H237" s="4" t="str">
        <x:v>Name may change after retrieval.</x:v>
      </x:c>
      <x:c r="I237" s="4" t="str">
        <x:v>B712</x:v>
      </x:c>
      <x:c r="J237" s="4" t="str">
        <x:v>https://www.oceancoyacht.com/fleet/black-pearl/</x:v>
      </x:c>
      <x:c r="K237" s="28" t="n">
        <x:v>46290</x:v>
      </x:c>
    </x:row>
    <x:row r="238" ht="69" customHeight="1">
      <x:c r="A238" s="20" t="str">
        <x:v>Y712</x:v>
      </x:c>
      <x:c r="B238" s="20" t="str">
        <x:v>Black Pearl</x:v>
      </x:c>
      <x:c r="C238" s="22" t="str">
        <x:v>1012490</x:v>
      </x:c>
      <x:c r="D238" s="4" t="str">
        <x:v>Delivered</x:v>
      </x:c>
      <x:c r="E238" s="4" t="n">
        <x:v>2018</x:v>
      </x:c>
      <x:c r="F238" s="4" t="str">
        <x:v>year</x:v>
      </x:c>
      <x:c r="G238" s="4" t="str">
        <x:v>Builder delivery year</x:v>
      </x:c>
      <x:c r="H238" s="4" t="str">
        <x:v>Do not equate with keel-laying or launch year.</x:v>
      </x:c>
      <x:c r="I238" s="4" t="str">
        <x:v>B712</x:v>
      </x:c>
      <x:c r="J238" s="4" t="str">
        <x:v>https://www.oceancoyacht.com/fleet/black-pearl/</x:v>
      </x:c>
      <x:c r="K238" s="28" t="n">
        <x:v>46290</x:v>
      </x:c>
    </x:row>
    <x:row r="239" ht="69" customHeight="1">
      <x:c r="A239" s="20" t="str">
        <x:v>Y712</x:v>
      </x:c>
      <x:c r="B239" s="20" t="str">
        <x:v>Black Pearl</x:v>
      </x:c>
      <x:c r="C239" s="22" t="str">
        <x:v>1012490</x:v>
      </x:c>
      <x:c r="D239" s="4" t="str">
        <x:v>IMO</x:v>
      </x:c>
      <x:c r="E239" s="4" t="str">
        <x:v>1012490</x:v>
      </x:c>
      <x:c r="F239" s="4" t="str"/>
      <x:c r="G239" s="4" t="str">
        <x:v>Database static vessel particulars</x:v>
      </x:c>
      <x:c r="H239" s="4" t="str">
        <x:v>Checksum passed; checksum does not independently confirm identity.</x:v>
      </x:c>
      <x:c r="I239" s="4" t="str">
        <x:v>V712</x:v>
      </x:c>
      <x:c r="J239" s="4" t="str">
        <x:v>https://www.vesselfinder.com/vessels/details/1012490</x:v>
      </x:c>
      <x:c r="K239" s="28" t="n">
        <x:v>46290</x:v>
      </x:c>
    </x:row>
    <x:row r="240" ht="69" customHeight="1">
      <x:c r="A240" s="20" t="str">
        <x:v>Y712</x:v>
      </x:c>
      <x:c r="B240" s="20" t="str">
        <x:v>Black Pearl</x:v>
      </x:c>
      <x:c r="C240" s="22" t="str">
        <x:v>1012490</x:v>
      </x:c>
      <x:c r="D240" s="4" t="str">
        <x:v>MMSI</x:v>
      </x:c>
      <x:c r="E240" s="4" t="str">
        <x:v>319113100</x:v>
      </x:c>
      <x:c r="F240" s="4" t="str"/>
      <x:c r="G240" s="4" t="str">
        <x:v>Published radio identity</x:v>
      </x:c>
      <x:c r="H240" s="4" t="str">
        <x:v>Published database identity; current registry/radio licence not inspected.</x:v>
      </x:c>
      <x:c r="I240" s="4" t="str">
        <x:v>V712</x:v>
      </x:c>
      <x:c r="J240" s="4" t="str">
        <x:v>https://www.vesselfinder.com/vessels/details/1012490</x:v>
      </x:c>
      <x:c r="K240" s="28" t="n">
        <x:v>46290</x:v>
      </x:c>
    </x:row>
    <x:row r="241" ht="69" customHeight="1">
      <x:c r="A241" s="20" t="str">
        <x:v>Y712</x:v>
      </x:c>
      <x:c r="B241" s="20" t="str">
        <x:v>Black Pearl</x:v>
      </x:c>
      <x:c r="C241" s="22" t="str">
        <x:v>1012490</x:v>
      </x:c>
      <x:c r="D241" s="4" t="str">
        <x:v>Call sign</x:v>
      </x:c>
      <x:c r="E241" s="4" t="str">
        <x:v>ZGGH7</x:v>
      </x:c>
      <x:c r="F241" s="4" t="str"/>
      <x:c r="G241" s="4" t="str">
        <x:v>Published radio identity</x:v>
      </x:c>
      <x:c r="H241" s="4" t="str">
        <x:v>Published database identity; current registry/radio licence not inspected.</x:v>
      </x:c>
      <x:c r="I241" s="4" t="str">
        <x:v>V712</x:v>
      </x:c>
      <x:c r="J241" s="4" t="str">
        <x:v>https://www.vesselfinder.com/vessels/details/1012490</x:v>
      </x:c>
      <x:c r="K241" s="28" t="n">
        <x:v>46290</x:v>
      </x:c>
    </x:row>
    <x:row r="242" ht="69" customHeight="1">
      <x:c r="A242" s="20" t="str">
        <x:v>Y712</x:v>
      </x:c>
      <x:c r="B242" s="20" t="str">
        <x:v>Black Pearl</x:v>
      </x:c>
      <x:c r="C242" s="22" t="str">
        <x:v>1012490</x:v>
      </x:c>
      <x:c r="D242" s="4" t="str">
        <x:v>Flag</x:v>
      </x:c>
      <x:c r="E242" s="4" t="str">
        <x:v>Cayman Islands</x:v>
      </x:c>
      <x:c r="F242" s="4" t="str"/>
      <x:c r="G242" s="4" t="str">
        <x:v>Published flag / AIS identity</x:v>
      </x:c>
      <x:c r="H242" s="4" t="str">
        <x:v>Published database identity; current registry/radio licence not inspected.</x:v>
      </x:c>
      <x:c r="I242" s="4" t="str">
        <x:v>V712</x:v>
      </x:c>
      <x:c r="J242" s="4" t="str">
        <x:v>https://www.vesselfinder.com/vessels/details/1012490</x:v>
      </x:c>
      <x:c r="K242" s="28" t="n">
        <x:v>46290</x:v>
      </x:c>
    </x:row>
    <x:row r="243" ht="69" customHeight="1">
      <x:c r="A243" s="20" t="str">
        <x:v>Y712</x:v>
      </x:c>
      <x:c r="B243" s="20" t="str">
        <x:v>Black Pearl</x:v>
      </x:c>
      <x:c r="C243" s="22" t="str">
        <x:v>1012490</x:v>
      </x:c>
      <x:c r="D243" s="4" t="str">
        <x:v>Preferred published LOA</x:v>
      </x:c>
      <x:c r="E243" s="4" t="n">
        <x:v>106.7</x:v>
      </x:c>
      <x:c r="F243" s="4" t="str">
        <x:v>m</x:v>
      </x:c>
      <x:c r="G243" s="4" t="str">
        <x:v>Builder published overall length</x:v>
      </x:c>
      <x:c r="H243" s="4" t="str">
        <x:v>Not independently measured or certificate-verified.</x:v>
      </x:c>
      <x:c r="I243" s="4" t="str">
        <x:v>B712</x:v>
      </x:c>
      <x:c r="J243" s="4" t="str">
        <x:v>https://www.oceancoyacht.com/fleet/black-pearl/</x:v>
      </x:c>
      <x:c r="K243" s="28" t="n">
        <x:v>46290</x:v>
      </x:c>
    </x:row>
    <x:row r="244" ht="69" customHeight="1">
      <x:c r="A244" s="20" t="str">
        <x:v>Y712</x:v>
      </x:c>
      <x:c r="B244" s="20" t="str">
        <x:v>Black Pearl</x:v>
      </x:c>
      <x:c r="C244" s="22" t="str">
        <x:v>1012490</x:v>
      </x:c>
      <x:c r="D244" s="4" t="str">
        <x:v>Preferred published beam</x:v>
      </x:c>
      <x:c r="E244" s="4" t="n">
        <x:v>15</x:v>
      </x:c>
      <x:c r="F244" s="4" t="str">
        <x:v>m</x:v>
      </x:c>
      <x:c r="G244" s="4" t="str">
        <x:v>Builder published overall beam</x:v>
      </x:c>
      <x:c r="H244" s="4" t="str">
        <x:v>Not moulded breadth unless source explicitly says so.</x:v>
      </x:c>
      <x:c r="I244" s="4" t="str">
        <x:v>B712</x:v>
      </x:c>
      <x:c r="J244" s="4" t="str">
        <x:v>https://www.oceancoyacht.com/fleet/black-pearl/</x:v>
      </x:c>
      <x:c r="K244" s="28" t="n">
        <x:v>46290</x:v>
      </x:c>
    </x:row>
    <x:row r="245" ht="69" customHeight="1">
      <x:c r="A245" s="20" t="str">
        <x:v>Y712</x:v>
      </x:c>
      <x:c r="B245" s="20" t="str">
        <x:v>Black Pearl</x:v>
      </x:c>
      <x:c r="C245" s="22" t="str">
        <x:v>1012490</x:v>
      </x:c>
      <x:c r="D245" s="4" t="str">
        <x:v>Working gross tonnage</x:v>
      </x:c>
      <x:c r="E245" s="4" t="n">
        <x:v>2864</x:v>
      </x:c>
      <x:c r="F245" s="4" t="str">
        <x:v>GT</x:v>
      </x:c>
      <x:c r="G245" s="4" t="str">
        <x:v>Database static GT</x:v>
      </x:c>
      <x:c r="H245" s="4" t="str">
        <x:v>GT is not mass/displacement.</x:v>
      </x:c>
      <x:c r="I245" s="4" t="str">
        <x:v>V712</x:v>
      </x:c>
      <x:c r="J245" s="4" t="str">
        <x:v>https://www.vesselfinder.com/vessels/details/1012490</x:v>
      </x:c>
      <x:c r="K245" s="28" t="n">
        <x:v>46290</x:v>
      </x:c>
    </x:row>
    <x:row r="246" ht="69" customHeight="1">
      <x:c r="A246" s="20" t="str">
        <x:v>Y712</x:v>
      </x:c>
      <x:c r="B246" s="20" t="str">
        <x:v>Black Pearl</x:v>
      </x:c>
      <x:c r="C246" s="22" t="str">
        <x:v>1012490</x:v>
      </x:c>
      <x:c r="D246" s="4" t="str">
        <x:v>Database static LOA</x:v>
      </x:c>
      <x:c r="E246" s="4" t="n">
        <x:v>105</x:v>
      </x:c>
      <x:c r="F246" s="4" t="str">
        <x:v>m</x:v>
      </x:c>
      <x:c r="G246" s="4" t="str">
        <x:v>Database static specification, not AIS dimensions</x:v>
      </x:c>
      <x:c r="H246" s="4" t="str">
        <x:v>Builder 106.7m vs database 105m. Builder 2018 is delivery, not launch. 30kn is sailing, not engine speed.</x:v>
      </x:c>
      <x:c r="I246" s="4" t="str">
        <x:v>V712</x:v>
      </x:c>
      <x:c r="J246" s="4" t="str">
        <x:v>https://www.vesselfinder.com/vessels/details/1012490</x:v>
      </x:c>
      <x:c r="K246" s="28" t="n">
        <x:v>46290</x:v>
      </x:c>
    </x:row>
    <x:row r="247" ht="69" customHeight="1">
      <x:c r="A247" s="20" t="str">
        <x:v>Y712</x:v>
      </x:c>
      <x:c r="B247" s="20" t="str">
        <x:v>Black Pearl</x:v>
      </x:c>
      <x:c r="C247" s="22" t="str">
        <x:v>1012490</x:v>
      </x:c>
      <x:c r="D247" s="4" t="str">
        <x:v>Database static beam</x:v>
      </x:c>
      <x:c r="E247" s="4" t="n">
        <x:v>14.98</x:v>
      </x:c>
      <x:c r="F247" s="4" t="str">
        <x:v>m</x:v>
      </x:c>
      <x:c r="G247" s="4" t="str">
        <x:v>Database static specification, not AIS dimensions</x:v>
      </x:c>
      <x:c r="H247" s="4" t="str">
        <x:v>Builder 106.7m vs database 105m. Builder 2018 is delivery, not launch. 30kn is sailing, not engine speed.</x:v>
      </x:c>
      <x:c r="I247" s="4" t="str">
        <x:v>V712</x:v>
      </x:c>
      <x:c r="J247" s="4" t="str">
        <x:v>https://www.vesselfinder.com/vessels/details/1012490</x:v>
      </x:c>
      <x:c r="K247" s="28" t="n">
        <x:v>46290</x:v>
      </x:c>
    </x:row>
    <x:row r="248" ht="69" customHeight="1">
      <x:c r="A248" s="20" t="str">
        <x:v>Y712</x:v>
      </x:c>
      <x:c r="B248" s="20" t="str">
        <x:v>Black Pearl</x:v>
      </x:c>
      <x:c r="C248" s="22" t="str">
        <x:v>1012490</x:v>
      </x:c>
      <x:c r="D248" s="4" t="str">
        <x:v>Database static GT</x:v>
      </x:c>
      <x:c r="E248" s="4" t="n">
        <x:v>2864</x:v>
      </x:c>
      <x:c r="F248" s="4" t="str">
        <x:v>GT</x:v>
      </x:c>
      <x:c r="G248" s="4" t="str">
        <x:v>Database static specification</x:v>
      </x:c>
      <x:c r="H248" s="4" t="str">
        <x:v>Not a current International Tonnage Certificate.</x:v>
      </x:c>
      <x:c r="I248" s="4" t="str">
        <x:v>V712</x:v>
      </x:c>
      <x:c r="J248" s="4" t="str">
        <x:v>https://www.vesselfinder.com/vessels/details/1012490</x:v>
      </x:c>
      <x:c r="K248" s="28" t="n">
        <x:v>46290</x:v>
      </x:c>
    </x:row>
    <x:row r="249" ht="69" customHeight="1">
      <x:c r="A249" s="20" t="str">
        <x:v>Y712</x:v>
      </x:c>
      <x:c r="B249" s="20" t="str">
        <x:v>Black Pearl</x:v>
      </x:c>
      <x:c r="C249" s="22" t="str">
        <x:v>1012490</x:v>
      </x:c>
      <x:c r="D249" s="4" t="str">
        <x:v>Database build year</x:v>
      </x:c>
      <x:c r="E249" s="4" t="n">
        <x:v>2018</x:v>
      </x:c>
      <x:c r="F249" s="4" t="str">
        <x:v>year</x:v>
      </x:c>
      <x:c r="G249" s="4" t="str">
        <x:v>Explicitly captured database build year</x:v>
      </x:c>
      <x:c r="H249" s="4" t="str">
        <x:v>May differ from delivery.</x:v>
      </x:c>
      <x:c r="I249" s="4" t="str">
        <x:v>V712</x:v>
      </x:c>
      <x:c r="J249" s="4" t="str">
        <x:v>https://www.vesselfinder.com/vessels/details/1012490</x:v>
      </x:c>
      <x:c r="K249" s="28" t="n">
        <x:v>46290</x:v>
      </x:c>
    </x:row>
    <x:row r="250" ht="69" customHeight="1">
      <x:c r="A250" s="20" t="str">
        <x:v>Y712</x:v>
      </x:c>
      <x:c r="B250" s="20" t="str">
        <x:v>Black Pearl</x:v>
      </x:c>
      <x:c r="C250" s="22" t="str">
        <x:v>1012490</x:v>
      </x:c>
      <x:c r="D250" s="4" t="str">
        <x:v>Database deadweight</x:v>
      </x:c>
      <x:c r="E250" s="4" t="n">
        <x:v>314</x:v>
      </x:c>
      <x:c r="F250" s="4" t="str">
        <x:v>t</x:v>
      </x:c>
      <x:c r="G250" s="4" t="str">
        <x:v>Database static specification</x:v>
      </x:c>
      <x:c r="H250" s="4" t="str">
        <x:v>Deadweight is not displacement or gross tonnage.</x:v>
      </x:c>
      <x:c r="I250" s="4" t="str">
        <x:v>V712</x:v>
      </x:c>
      <x:c r="J250" s="4" t="str">
        <x:v>https://www.vesselfinder.com/vessels/details/1012490</x:v>
      </x:c>
      <x:c r="K250" s="28" t="n">
        <x:v>46290</x:v>
      </x:c>
    </x:row>
    <x:row r="251" ht="69" customHeight="1">
      <x:c r="A251" s="20" t="str">
        <x:v>Y712</x:v>
      </x:c>
      <x:c r="B251" s="20" t="str">
        <x:v>Black Pearl</x:v>
      </x:c>
      <x:c r="C251" s="22" t="str">
        <x:v>1012490</x:v>
      </x:c>
      <x:c r="D251" s="4" t="str">
        <x:v>Naval architecture / engineering</x:v>
      </x:c>
      <x:c r="E251" s="4" t="str">
        <x:v>Lateral / BMT; Oceanco</x:v>
      </x:c>
      <x:c r="F251" s="4" t="str"/>
      <x:c r="G251" s="4" t="str">
        <x:v>Naval-architect project credit</x:v>
      </x:c>
      <x:c r="H251" s="4" t="str"/>
      <x:c r="I251" s="4" t="str">
        <x:v>LAT712</x:v>
      </x:c>
      <x:c r="J251" s="4" t="str">
        <x:v>https://www.lateral.engineering/projects/black-pearl/</x:v>
      </x:c>
      <x:c r="K251" s="28" t="n">
        <x:v>46290</x:v>
      </x:c>
    </x:row>
    <x:row r="252" ht="69" customHeight="1">
      <x:c r="A252" s="20" t="str">
        <x:v>Y712</x:v>
      </x:c>
      <x:c r="B252" s="20" t="str">
        <x:v>Black Pearl</x:v>
      </x:c>
      <x:c r="C252" s="22" t="str">
        <x:v>1012490</x:v>
      </x:c>
      <x:c r="D252" s="4" t="str">
        <x:v>Exterior design</x:v>
      </x:c>
      <x:c r="E252" s="4" t="str">
        <x:v>Ken Freivokh; Nuvolari Lenard</x:v>
      </x:c>
      <x:c r="F252" s="4" t="str"/>
      <x:c r="G252" s="4" t="str">
        <x:v>Builder design credit; original build unless expressly noted</x:v>
      </x:c>
      <x:c r="H252" s="4" t="str"/>
      <x:c r="I252" s="4" t="str">
        <x:v>B712</x:v>
      </x:c>
      <x:c r="J252" s="4" t="str">
        <x:v>https://www.oceancoyacht.com/fleet/black-pearl/</x:v>
      </x:c>
      <x:c r="K252" s="28" t="n">
        <x:v>46290</x:v>
      </x:c>
    </x:row>
    <x:row r="253" ht="69" customHeight="1">
      <x:c r="A253" s="20" t="str">
        <x:v>Y712</x:v>
      </x:c>
      <x:c r="B253" s="20" t="str">
        <x:v>Black Pearl</x:v>
      </x:c>
      <x:c r="C253" s="22" t="str">
        <x:v>1012490</x:v>
      </x:c>
      <x:c r="D253" s="4" t="str">
        <x:v>Interior design</x:v>
      </x:c>
      <x:c r="E253" s="4" t="str">
        <x:v>Nuvolari Lenard; Villate</x:v>
      </x:c>
      <x:c r="F253" s="4" t="str"/>
      <x:c r="G253" s="4" t="str">
        <x:v>Builder design credit; may not describe later refit</x:v>
      </x:c>
      <x:c r="H253" s="4" t="str"/>
      <x:c r="I253" s="4" t="str">
        <x:v>B712</x:v>
      </x:c>
      <x:c r="J253" s="4" t="str">
        <x:v>https://www.oceancoyacht.com/fleet/black-pearl/</x:v>
      </x:c>
      <x:c r="K253" s="28" t="n">
        <x:v>46290</x:v>
      </x:c>
    </x:row>
    <x:row r="254" ht="69" customHeight="1">
      <x:c r="A254" s="20" t="str">
        <x:v>Y712</x:v>
      </x:c>
      <x:c r="B254" s="20" t="str">
        <x:v>Black Pearl</x:v>
      </x:c>
      <x:c r="C254" s="22" t="str">
        <x:v>1012490</x:v>
      </x:c>
      <x:c r="D254" s="4" t="str">
        <x:v>Propulsion / energy systems</x:v>
      </x:c>
      <x:c r="E254" s="4" t="str">
        <x:v>Hybrid propulsion with sailing-energy integration</x:v>
      </x:c>
      <x:c r="F254" s="4" t="str"/>
      <x:c r="G254" s="4" t="str">
        <x:v>Published specification; not certificate-verified</x:v>
      </x:c>
      <x:c r="H254" s="4" t="str"/>
      <x:c r="I254" s="4" t="str">
        <x:v>LAT712</x:v>
      </x:c>
      <x:c r="J254" s="4" t="str">
        <x:v>https://www.lateral.engineering/projects/black-pearl/</x:v>
      </x:c>
      <x:c r="K254" s="28" t="n">
        <x:v>46290</x:v>
      </x:c>
    </x:row>
    <x:row r="255" ht="69" customHeight="1">
      <x:c r="A255" s="20" t="str">
        <x:v>Y712</x:v>
      </x:c>
      <x:c r="B255" s="20" t="str">
        <x:v>Black Pearl</x:v>
      </x:c>
      <x:c r="C255" s="22" t="str">
        <x:v>1012490</x:v>
      </x:c>
      <x:c r="D255" s="4" t="str">
        <x:v>Maximum sailing speed</x:v>
      </x:c>
      <x:c r="E255" s="4" t="n">
        <x:v>30</x:v>
      </x:c>
      <x:c r="F255" s="4" t="str">
        <x:v>kn</x:v>
      </x:c>
      <x:c r="G255" s="4" t="str">
        <x:v>Builder published sailing capability</x:v>
      </x:c>
      <x:c r="H255" s="4" t="str">
        <x:v>Not engine speed; performance capability, not a guaranteed operational speed.</x:v>
      </x:c>
      <x:c r="I255" s="4" t="str">
        <x:v>B712</x:v>
      </x:c>
      <x:c r="J255" s="4" t="str">
        <x:v>https://www.oceancoyacht.com/fleet/black-pearl/</x:v>
      </x:c>
      <x:c r="K255" s="28" t="n">
        <x:v>46290</x:v>
      </x:c>
    </x:row>
    <x:row r="256" ht="69" customHeight="1">
      <x:c r="A256" s="20" t="str">
        <x:v>Y712</x:v>
      </x:c>
      <x:c r="B256" s="20" t="str">
        <x:v>Black Pearl</x:v>
      </x:c>
      <x:c r="C256" s="22" t="str">
        <x:v>1012490</x:v>
      </x:c>
      <x:c r="D256" s="4" t="str">
        <x:v>Sail area</x:v>
      </x:c>
      <x:c r="E256" s="4" t="n">
        <x:v>2877</x:v>
      </x:c>
      <x:c r="F256" s="4" t="str">
        <x:v>m²</x:v>
      </x:c>
      <x:c r="G256" s="4" t="str">
        <x:v>Builder publication</x:v>
      </x:c>
      <x:c r="H256" s="4" t="str"/>
      <x:c r="I256" s="4" t="str">
        <x:v>B712</x:v>
      </x:c>
      <x:c r="J256" s="4" t="str">
        <x:v>https://www.oceancoyacht.com/fleet/black-pearl/</x:v>
      </x:c>
      <x:c r="K256" s="28" t="n">
        <x:v>46290</x:v>
      </x:c>
    </x:row>
    <x:row r="257" ht="69" customHeight="1">
      <x:c r="A257" s="20" t="str">
        <x:v>Y714</x:v>
      </x:c>
      <x:c r="B257" s="20" t="str">
        <x:v>KAOS</x:v>
      </x:c>
      <x:c r="C257" s="22" t="str">
        <x:v>1012610</x:v>
      </x:c>
      <x:c r="D257" s="4" t="str">
        <x:v>Yard code</x:v>
      </x:c>
      <x:c r="E257" s="4" t="str">
        <x:v>Y714</x:v>
      </x:c>
      <x:c r="F257" s="4" t="str"/>
      <x:c r="G257" s="4" t="str">
        <x:v>Public build-to-vessel cross-reference</x:v>
      </x:c>
      <x:c r="H257" s="4" t="str">
        <x:v>No builder certificate inspected.</x:v>
      </x:c>
      <x:c r="I257" s="4" t="str">
        <x:v>TC</x:v>
      </x:c>
      <x:c r="J257" s="4" t="str">
        <x:v>https://tech-consul.nl/projects</x:v>
      </x:c>
      <x:c r="K257" s="28" t="n">
        <x:v>46290</x:v>
      </x:c>
    </x:row>
    <x:row r="258" ht="69" customHeight="1">
      <x:c r="A258" s="20" t="str">
        <x:v>Y714</x:v>
      </x:c>
      <x:c r="B258" s="20" t="str">
        <x:v>KAOS</x:v>
      </x:c>
      <x:c r="C258" s="22" t="str">
        <x:v>1012610</x:v>
      </x:c>
      <x:c r="D258" s="4" t="str">
        <x:v>Current published name</x:v>
      </x:c>
      <x:c r="E258" s="4" t="str">
        <x:v>KAOS</x:v>
      </x:c>
      <x:c r="F258" s="4" t="str"/>
      <x:c r="G258" s="4" t="str">
        <x:v>Builder fleet publication</x:v>
      </x:c>
      <x:c r="H258" s="4" t="str">
        <x:v>Name may change after retrieval.</x:v>
      </x:c>
      <x:c r="I258" s="4" t="str">
        <x:v>B714</x:v>
      </x:c>
      <x:c r="J258" s="4" t="str">
        <x:v>https://www.oceancoyacht.com/fleet/kaos/</x:v>
      </x:c>
      <x:c r="K258" s="28" t="n">
        <x:v>46290</x:v>
      </x:c>
    </x:row>
    <x:row r="259" ht="69" customHeight="1">
      <x:c r="A259" s="20" t="str">
        <x:v>Y714</x:v>
      </x:c>
      <x:c r="B259" s="20" t="str">
        <x:v>KAOS</x:v>
      </x:c>
      <x:c r="C259" s="22" t="str">
        <x:v>1012610</x:v>
      </x:c>
      <x:c r="D259" s="4" t="str">
        <x:v>Former names / aliases</x:v>
      </x:c>
      <x:c r="E259" s="4" t="str">
        <x:v>Jubilee</x:v>
      </x:c>
      <x:c r="F259" s="4" t="str"/>
      <x:c r="G259" s="4" t="str">
        <x:v>Published name history / alias</x:v>
      </x:c>
      <x:c r="H259" s="4" t="str">
        <x:v>Not a certified complete sequence; dates not inferred.</x:v>
      </x:c>
      <x:c r="I259" s="4" t="str">
        <x:v>V714</x:v>
      </x:c>
      <x:c r="J259" s="4" t="str">
        <x:v>https://www.vesselfinder.com/vessels/details/1012610</x:v>
      </x:c>
      <x:c r="K259" s="28" t="n">
        <x:v>46290</x:v>
      </x:c>
    </x:row>
    <x:row r="260" ht="69" customHeight="1">
      <x:c r="A260" s="20" t="str">
        <x:v>Y714</x:v>
      </x:c>
      <x:c r="B260" s="20" t="str">
        <x:v>KAOS</x:v>
      </x:c>
      <x:c r="C260" s="22" t="str">
        <x:v>1012610</x:v>
      </x:c>
      <x:c r="D260" s="4" t="str">
        <x:v>Delivered</x:v>
      </x:c>
      <x:c r="E260" s="4" t="n">
        <x:v>2017</x:v>
      </x:c>
      <x:c r="F260" s="4" t="str">
        <x:v>year</x:v>
      </x:c>
      <x:c r="G260" s="4" t="str">
        <x:v>Builder delivery year</x:v>
      </x:c>
      <x:c r="H260" s="4" t="str">
        <x:v>Do not equate with keel-laying or launch year.</x:v>
      </x:c>
      <x:c r="I260" s="4" t="str">
        <x:v>B714</x:v>
      </x:c>
      <x:c r="J260" s="4" t="str">
        <x:v>https://www.oceancoyacht.com/fleet/kaos/</x:v>
      </x:c>
      <x:c r="K260" s="28" t="n">
        <x:v>46290</x:v>
      </x:c>
    </x:row>
    <x:row r="261" ht="69" customHeight="1">
      <x:c r="A261" s="20" t="str">
        <x:v>Y714</x:v>
      </x:c>
      <x:c r="B261" s="20" t="str">
        <x:v>KAOS</x:v>
      </x:c>
      <x:c r="C261" s="22" t="str">
        <x:v>1012610</x:v>
      </x:c>
      <x:c r="D261" s="4" t="str">
        <x:v>IMO</x:v>
      </x:c>
      <x:c r="E261" s="4" t="str">
        <x:v>1012610</x:v>
      </x:c>
      <x:c r="F261" s="4" t="str"/>
      <x:c r="G261" s="4" t="str">
        <x:v>Database static vessel particulars</x:v>
      </x:c>
      <x:c r="H261" s="4" t="str">
        <x:v>Checksum passed; checksum does not independently confirm identity.</x:v>
      </x:c>
      <x:c r="I261" s="4" t="str">
        <x:v>V714</x:v>
      </x:c>
      <x:c r="J261" s="4" t="str">
        <x:v>https://www.vesselfinder.com/vessels/details/1012610</x:v>
      </x:c>
      <x:c r="K261" s="28" t="n">
        <x:v>46290</x:v>
      </x:c>
    </x:row>
    <x:row r="262" ht="69" customHeight="1">
      <x:c r="A262" s="20" t="str">
        <x:v>Y714</x:v>
      </x:c>
      <x:c r="B262" s="20" t="str">
        <x:v>KAOS</x:v>
      </x:c>
      <x:c r="C262" s="22" t="str">
        <x:v>1012610</x:v>
      </x:c>
      <x:c r="D262" s="4" t="str">
        <x:v>MMSI</x:v>
      </x:c>
      <x:c r="E262" s="4" t="str">
        <x:v>339302000</x:v>
      </x:c>
      <x:c r="F262" s="4" t="str"/>
      <x:c r="G262" s="4" t="str">
        <x:v>Published radio identity</x:v>
      </x:c>
      <x:c r="H262" s="4" t="str">
        <x:v>Published database identity; current registry/radio licence not inspected.</x:v>
      </x:c>
      <x:c r="I262" s="4" t="str">
        <x:v>V714</x:v>
      </x:c>
      <x:c r="J262" s="4" t="str">
        <x:v>https://www.vesselfinder.com/vessels/details/1012610</x:v>
      </x:c>
      <x:c r="K262" s="28" t="n">
        <x:v>46290</x:v>
      </x:c>
    </x:row>
    <x:row r="263" ht="69" customHeight="1">
      <x:c r="A263" s="20" t="str">
        <x:v>Y714</x:v>
      </x:c>
      <x:c r="B263" s="20" t="str">
        <x:v>KAOS</x:v>
      </x:c>
      <x:c r="C263" s="22" t="str">
        <x:v>1012610</x:v>
      </x:c>
      <x:c r="D263" s="4" t="str">
        <x:v>Call sign</x:v>
      </x:c>
      <x:c r="E263" s="4" t="str">
        <x:v>6YVQ2</x:v>
      </x:c>
      <x:c r="F263" s="4" t="str"/>
      <x:c r="G263" s="4" t="str">
        <x:v>Published radio identity</x:v>
      </x:c>
      <x:c r="H263" s="4" t="str">
        <x:v>Published database identity; current registry/radio licence not inspected.</x:v>
      </x:c>
      <x:c r="I263" s="4" t="str">
        <x:v>V714</x:v>
      </x:c>
      <x:c r="J263" s="4" t="str">
        <x:v>https://www.vesselfinder.com/vessels/details/1012610</x:v>
      </x:c>
      <x:c r="K263" s="28" t="n">
        <x:v>46290</x:v>
      </x:c>
    </x:row>
    <x:row r="264" ht="69" customHeight="1">
      <x:c r="A264" s="20" t="str">
        <x:v>Y714</x:v>
      </x:c>
      <x:c r="B264" s="20" t="str">
        <x:v>KAOS</x:v>
      </x:c>
      <x:c r="C264" s="22" t="str">
        <x:v>1012610</x:v>
      </x:c>
      <x:c r="D264" s="4" t="str">
        <x:v>Flag</x:v>
      </x:c>
      <x:c r="E264" s="4" t="str">
        <x:v>Jamaica</x:v>
      </x:c>
      <x:c r="F264" s="4" t="str"/>
      <x:c r="G264" s="4" t="str">
        <x:v>Published flag / AIS identity</x:v>
      </x:c>
      <x:c r="H264" s="4" t="str">
        <x:v>Published database identity; current registry/radio licence not inspected.</x:v>
      </x:c>
      <x:c r="I264" s="4" t="str">
        <x:v>V714</x:v>
      </x:c>
      <x:c r="J264" s="4" t="str">
        <x:v>https://www.vesselfinder.com/vessels/details/1012610</x:v>
      </x:c>
      <x:c r="K264" s="28" t="n">
        <x:v>46290</x:v>
      </x:c>
    </x:row>
    <x:row r="265" ht="69" customHeight="1">
      <x:c r="A265" s="20" t="str">
        <x:v>Y714</x:v>
      </x:c>
      <x:c r="B265" s="20" t="str">
        <x:v>KAOS</x:v>
      </x:c>
      <x:c r="C265" s="22" t="str">
        <x:v>1012610</x:v>
      </x:c>
      <x:c r="D265" s="4" t="str">
        <x:v>Preferred published LOA</x:v>
      </x:c>
      <x:c r="E265" s="4" t="n">
        <x:v>110</x:v>
      </x:c>
      <x:c r="F265" s="4" t="str">
        <x:v>m</x:v>
      </x:c>
      <x:c r="G265" s="4" t="str">
        <x:v>Builder published overall length</x:v>
      </x:c>
      <x:c r="H265" s="4" t="str">
        <x:v>Not independently measured or certificate-verified.</x:v>
      </x:c>
      <x:c r="I265" s="4" t="str">
        <x:v>B714</x:v>
      </x:c>
      <x:c r="J265" s="4" t="str">
        <x:v>https://www.oceancoyacht.com/fleet/kaos/</x:v>
      </x:c>
      <x:c r="K265" s="28" t="n">
        <x:v>46290</x:v>
      </x:c>
    </x:row>
    <x:row r="266" ht="69" customHeight="1">
      <x:c r="A266" s="20" t="str">
        <x:v>Y714</x:v>
      </x:c>
      <x:c r="B266" s="20" t="str">
        <x:v>KAOS</x:v>
      </x:c>
      <x:c r="C266" s="22" t="str">
        <x:v>1012610</x:v>
      </x:c>
      <x:c r="D266" s="4" t="str">
        <x:v>Preferred published beam</x:v>
      </x:c>
      <x:c r="E266" s="4" t="n">
        <x:v>16.4</x:v>
      </x:c>
      <x:c r="F266" s="4" t="str">
        <x:v>m</x:v>
      </x:c>
      <x:c r="G266" s="4" t="str">
        <x:v>Builder published overall beam</x:v>
      </x:c>
      <x:c r="H266" s="4" t="str">
        <x:v>Not moulded breadth unless source explicitly says so.</x:v>
      </x:c>
      <x:c r="I266" s="4" t="str">
        <x:v>B714</x:v>
      </x:c>
      <x:c r="J266" s="4" t="str">
        <x:v>https://www.oceancoyacht.com/fleet/kaos/</x:v>
      </x:c>
      <x:c r="K266" s="28" t="n">
        <x:v>46290</x:v>
      </x:c>
    </x:row>
    <x:row r="267" ht="69" customHeight="1">
      <x:c r="A267" s="20" t="str">
        <x:v>Y714</x:v>
      </x:c>
      <x:c r="B267" s="20" t="str">
        <x:v>KAOS</x:v>
      </x:c>
      <x:c r="C267" s="22" t="str">
        <x:v>1012610</x:v>
      </x:c>
      <x:c r="D267" s="4" t="str">
        <x:v>Working gross tonnage</x:v>
      </x:c>
      <x:c r="E267" s="4" t="n">
        <x:v>4523</x:v>
      </x:c>
      <x:c r="F267" s="4" t="str">
        <x:v>GT</x:v>
      </x:c>
      <x:c r="G267" s="4" t="str">
        <x:v>Database static GT</x:v>
      </x:c>
      <x:c r="H267" s="4" t="str">
        <x:v>GT is not mass/displacement.</x:v>
      </x:c>
      <x:c r="I267" s="4" t="str">
        <x:v>V714</x:v>
      </x:c>
      <x:c r="J267" s="4" t="str">
        <x:v>https://www.vesselfinder.com/vessels/details/1012610</x:v>
      </x:c>
      <x:c r="K267" s="28" t="n">
        <x:v>46290</x:v>
      </x:c>
    </x:row>
    <x:row r="268" ht="69" customHeight="1">
      <x:c r="A268" s="20" t="str">
        <x:v>Y714</x:v>
      </x:c>
      <x:c r="B268" s="20" t="str">
        <x:v>KAOS</x:v>
      </x:c>
      <x:c r="C268" s="22" t="str">
        <x:v>1012610</x:v>
      </x:c>
      <x:c r="D268" s="4" t="str">
        <x:v>Database static LOA</x:v>
      </x:c>
      <x:c r="E268" s="4" t="n">
        <x:v>105</x:v>
      </x:c>
      <x:c r="F268" s="4" t="str">
        <x:v>m</x:v>
      </x:c>
      <x:c r="G268" s="4" t="str">
        <x:v>Database static specification, not AIS dimensions</x:v>
      </x:c>
      <x:c r="H268" s="4" t="str">
        <x:v>Builder LOA 110m vs database 105m; beam 16.4m vs 16m. Interior credit is original build.</x:v>
      </x:c>
      <x:c r="I268" s="4" t="str">
        <x:v>V714</x:v>
      </x:c>
      <x:c r="J268" s="4" t="str">
        <x:v>https://www.vesselfinder.com/vessels/details/1012610</x:v>
      </x:c>
      <x:c r="K268" s="28" t="n">
        <x:v>46290</x:v>
      </x:c>
    </x:row>
    <x:row r="269" ht="69" customHeight="1">
      <x:c r="A269" s="20" t="str">
        <x:v>Y714</x:v>
      </x:c>
      <x:c r="B269" s="20" t="str">
        <x:v>KAOS</x:v>
      </x:c>
      <x:c r="C269" s="22" t="str">
        <x:v>1012610</x:v>
      </x:c>
      <x:c r="D269" s="4" t="str">
        <x:v>Database static beam</x:v>
      </x:c>
      <x:c r="E269" s="4" t="n">
        <x:v>16</x:v>
      </x:c>
      <x:c r="F269" s="4" t="str">
        <x:v>m</x:v>
      </x:c>
      <x:c r="G269" s="4" t="str">
        <x:v>Database static specification, not AIS dimensions</x:v>
      </x:c>
      <x:c r="H269" s="4" t="str">
        <x:v>Builder LOA 110m vs database 105m; beam 16.4m vs 16m. Interior credit is original build.</x:v>
      </x:c>
      <x:c r="I269" s="4" t="str">
        <x:v>V714</x:v>
      </x:c>
      <x:c r="J269" s="4" t="str">
        <x:v>https://www.vesselfinder.com/vessels/details/1012610</x:v>
      </x:c>
      <x:c r="K269" s="28" t="n">
        <x:v>46290</x:v>
      </x:c>
    </x:row>
    <x:row r="270" ht="69" customHeight="1">
      <x:c r="A270" s="20" t="str">
        <x:v>Y714</x:v>
      </x:c>
      <x:c r="B270" s="20" t="str">
        <x:v>KAOS</x:v>
      </x:c>
      <x:c r="C270" s="22" t="str">
        <x:v>1012610</x:v>
      </x:c>
      <x:c r="D270" s="4" t="str">
        <x:v>Database static GT</x:v>
      </x:c>
      <x:c r="E270" s="4" t="n">
        <x:v>4523</x:v>
      </x:c>
      <x:c r="F270" s="4" t="str">
        <x:v>GT</x:v>
      </x:c>
      <x:c r="G270" s="4" t="str">
        <x:v>Database static specification</x:v>
      </x:c>
      <x:c r="H270" s="4" t="str">
        <x:v>Not a current International Tonnage Certificate.</x:v>
      </x:c>
      <x:c r="I270" s="4" t="str">
        <x:v>V714</x:v>
      </x:c>
      <x:c r="J270" s="4" t="str">
        <x:v>https://www.vesselfinder.com/vessels/details/1012610</x:v>
      </x:c>
      <x:c r="K270" s="28" t="n">
        <x:v>46290</x:v>
      </x:c>
    </x:row>
    <x:row r="271" ht="69" customHeight="1">
      <x:c r="A271" s="20" t="str">
        <x:v>Y714</x:v>
      </x:c>
      <x:c r="B271" s="20" t="str">
        <x:v>KAOS</x:v>
      </x:c>
      <x:c r="C271" s="22" t="str">
        <x:v>1012610</x:v>
      </x:c>
      <x:c r="D271" s="4" t="str">
        <x:v>Naval architecture / engineering</x:v>
      </x:c>
      <x:c r="E271" s="4" t="str">
        <x:v>Azure (hull); Lateral / Oceanco (engineering)</x:v>
      </x:c>
      <x:c r="F271" s="4" t="str"/>
      <x:c r="G271" s="4" t="str">
        <x:v>Naval-architect project credit</x:v>
      </x:c>
      <x:c r="H271" s="4" t="str"/>
      <x:c r="I271" s="4" t="str">
        <x:v>LAT714</x:v>
      </x:c>
      <x:c r="J271" s="4" t="str">
        <x:v>https://www.lateral.engineering/projects/kaos/</x:v>
      </x:c>
      <x:c r="K271" s="28" t="n">
        <x:v>46290</x:v>
      </x:c>
    </x:row>
    <x:row r="272" ht="69" customHeight="1">
      <x:c r="A272" s="20" t="str">
        <x:v>Y714</x:v>
      </x:c>
      <x:c r="B272" s="20" t="str">
        <x:v>KAOS</x:v>
      </x:c>
      <x:c r="C272" s="22" t="str">
        <x:v>1012610</x:v>
      </x:c>
      <x:c r="D272" s="4" t="str">
        <x:v>Exterior design</x:v>
      </x:c>
      <x:c r="E272" s="4" t="str">
        <x:v>Lobanov Design</x:v>
      </x:c>
      <x:c r="F272" s="4" t="str"/>
      <x:c r="G272" s="4" t="str">
        <x:v>Builder design credit; original build unless expressly noted</x:v>
      </x:c>
      <x:c r="H272" s="4" t="str"/>
      <x:c r="I272" s="4" t="str">
        <x:v>B714</x:v>
      </x:c>
      <x:c r="J272" s="4" t="str">
        <x:v>https://www.oceancoyacht.com/fleet/kaos/</x:v>
      </x:c>
      <x:c r="K272" s="28" t="n">
        <x:v>46290</x:v>
      </x:c>
    </x:row>
    <x:row r="273" ht="69" customHeight="1">
      <x:c r="A273" s="20" t="str">
        <x:v>Y714</x:v>
      </x:c>
      <x:c r="B273" s="20" t="str">
        <x:v>KAOS</x:v>
      </x:c>
      <x:c r="C273" s="22" t="str">
        <x:v>1012610</x:v>
      </x:c>
      <x:c r="D273" s="4" t="str">
        <x:v>Interior design</x:v>
      </x:c>
      <x:c r="E273" s="4" t="str">
        <x:v>Sam Sorgiovanni (original)</x:v>
      </x:c>
      <x:c r="F273" s="4" t="str"/>
      <x:c r="G273" s="4" t="str">
        <x:v>Builder design credit; may not describe later refit</x:v>
      </x:c>
      <x:c r="H273" s="4" t="str"/>
      <x:c r="I273" s="4" t="str">
        <x:v>B714</x:v>
      </x:c>
      <x:c r="J273" s="4" t="str">
        <x:v>https://www.oceancoyacht.com/fleet/kaos/</x:v>
      </x:c>
      <x:c r="K273" s="28" t="n">
        <x:v>46290</x:v>
      </x:c>
    </x:row>
    <x:row r="274" ht="69" customHeight="1">
      <x:c r="A274" s="20" t="str">
        <x:v>Y714</x:v>
      </x:c>
      <x:c r="B274" s="20" t="str">
        <x:v>KAOS</x:v>
      </x:c>
      <x:c r="C274" s="22" t="str">
        <x:v>1012610</x:v>
      </x:c>
      <x:c r="D274" s="4" t="str">
        <x:v>Published guests</x:v>
      </x:c>
      <x:c r="E274" s="4" t="n">
        <x:v>30</x:v>
      </x:c>
      <x:c r="F274" s="4" t="str">
        <x:v>persons</x:v>
      </x:c>
      <x:c r="G274" s="4" t="str">
        <x:v>Builder published PYC guest capacity; not independently certificate-verified</x:v>
      </x:c>
      <x:c r="H274" s="4" t="str"/>
      <x:c r="I274" s="4" t="str">
        <x:v>B714</x:v>
      </x:c>
      <x:c r="J274" s="4" t="str">
        <x:v>https://www.oceancoyacht.com/fleet/kaos/</x:v>
      </x:c>
      <x:c r="K274" s="28" t="n">
        <x:v>46290</x:v>
      </x:c>
    </x:row>
    <x:row r="275" ht="69" customHeight="1">
      <x:c r="A275" s="20" t="str">
        <x:v>Y715</x:v>
      </x:c>
      <x:c r="B275" s="20" t="str">
        <x:v>Barbara</x:v>
      </x:c>
      <x:c r="C275" s="22" t="str">
        <x:v>1012725</x:v>
      </x:c>
      <x:c r="D275" s="4" t="str">
        <x:v>Yard code</x:v>
      </x:c>
      <x:c r="E275" s="4" t="str">
        <x:v>Y715</x:v>
      </x:c>
      <x:c r="F275" s="4" t="str"/>
      <x:c r="G275" s="4" t="str">
        <x:v>Public build-to-vessel cross-reference</x:v>
      </x:c>
      <x:c r="H275" s="4" t="str">
        <x:v>No builder certificate inspected.</x:v>
      </x:c>
      <x:c r="I275" s="4" t="str">
        <x:v>Y715</x:v>
      </x:c>
      <x:c r="J275" s="4" t="str">
        <x:v>https://www.sorgiovanniinteriors.com.au/barbara/</x:v>
      </x:c>
      <x:c r="K275" s="28" t="n">
        <x:v>46290</x:v>
      </x:c>
    </x:row>
    <x:row r="276" ht="69" customHeight="1">
      <x:c r="A276" s="20" t="str">
        <x:v>Y715</x:v>
      </x:c>
      <x:c r="B276" s="20" t="str">
        <x:v>Barbara</x:v>
      </x:c>
      <x:c r="C276" s="22" t="str">
        <x:v>1012725</x:v>
      </x:c>
      <x:c r="D276" s="4" t="str">
        <x:v>Current published name</x:v>
      </x:c>
      <x:c r="E276" s="4" t="str">
        <x:v>Barbara</x:v>
      </x:c>
      <x:c r="F276" s="4" t="str"/>
      <x:c r="G276" s="4" t="str">
        <x:v>Builder fleet publication</x:v>
      </x:c>
      <x:c r="H276" s="4" t="str">
        <x:v>Name may change after retrieval.</x:v>
      </x:c>
      <x:c r="I276" s="4" t="str">
        <x:v>B715</x:v>
      </x:c>
      <x:c r="J276" s="4" t="str">
        <x:v>https://www.oceancoyacht.com/fleet/barbara/</x:v>
      </x:c>
      <x:c r="K276" s="28" t="n">
        <x:v>46290</x:v>
      </x:c>
    </x:row>
    <x:row r="277" ht="69" customHeight="1">
      <x:c r="A277" s="20" t="str">
        <x:v>Y715</x:v>
      </x:c>
      <x:c r="B277" s="20" t="str">
        <x:v>Barbara</x:v>
      </x:c>
      <x:c r="C277" s="22" t="str">
        <x:v>1012725</x:v>
      </x:c>
      <x:c r="D277" s="4" t="str">
        <x:v>Delivered</x:v>
      </x:c>
      <x:c r="E277" s="4" t="n">
        <x:v>2017</x:v>
      </x:c>
      <x:c r="F277" s="4" t="str">
        <x:v>year</x:v>
      </x:c>
      <x:c r="G277" s="4" t="str">
        <x:v>Builder delivery year</x:v>
      </x:c>
      <x:c r="H277" s="4" t="str">
        <x:v>Do not equate with keel-laying or launch year.</x:v>
      </x:c>
      <x:c r="I277" s="4" t="str">
        <x:v>B715</x:v>
      </x:c>
      <x:c r="J277" s="4" t="str">
        <x:v>https://www.oceancoyacht.com/fleet/barbara/</x:v>
      </x:c>
      <x:c r="K277" s="28" t="n">
        <x:v>46290</x:v>
      </x:c>
    </x:row>
    <x:row r="278" ht="69" customHeight="1">
      <x:c r="A278" s="20" t="str">
        <x:v>Y715</x:v>
      </x:c>
      <x:c r="B278" s="20" t="str">
        <x:v>Barbara</x:v>
      </x:c>
      <x:c r="C278" s="22" t="str">
        <x:v>1012725</x:v>
      </x:c>
      <x:c r="D278" s="4" t="str">
        <x:v>IMO</x:v>
      </x:c>
      <x:c r="E278" s="4" t="str">
        <x:v>1012725</x:v>
      </x:c>
      <x:c r="F278" s="4" t="str"/>
      <x:c r="G278" s="4" t="str">
        <x:v>Database static vessel particulars</x:v>
      </x:c>
      <x:c r="H278" s="4" t="str">
        <x:v>Checksum passed; checksum does not independently confirm identity.</x:v>
      </x:c>
      <x:c r="I278" s="4" t="str">
        <x:v>V715</x:v>
      </x:c>
      <x:c r="J278" s="4" t="str">
        <x:v>https://www.vesselfinder.com/vessels/details/1012725</x:v>
      </x:c>
      <x:c r="K278" s="28" t="n">
        <x:v>46290</x:v>
      </x:c>
    </x:row>
    <x:row r="279" ht="69" customHeight="1">
      <x:c r="A279" s="20" t="str">
        <x:v>Y715</x:v>
      </x:c>
      <x:c r="B279" s="20" t="str">
        <x:v>Barbara</x:v>
      </x:c>
      <x:c r="C279" s="22" t="str">
        <x:v>1012725</x:v>
      </x:c>
      <x:c r="D279" s="4" t="str">
        <x:v>MMSI</x:v>
      </x:c>
      <x:c r="E279" s="4" t="str">
        <x:v>319104200</x:v>
      </x:c>
      <x:c r="F279" s="4" t="str"/>
      <x:c r="G279" s="4" t="str">
        <x:v>Published radio identity</x:v>
      </x:c>
      <x:c r="H279" s="4" t="str">
        <x:v>Published database identity; current registry/radio licence not inspected.</x:v>
      </x:c>
      <x:c r="I279" s="4" t="str">
        <x:v>V715</x:v>
      </x:c>
      <x:c r="J279" s="4" t="str">
        <x:v>https://www.vesselfinder.com/vessels/details/1012725</x:v>
      </x:c>
      <x:c r="K279" s="28" t="n">
        <x:v>46290</x:v>
      </x:c>
    </x:row>
    <x:row r="280" ht="69" customHeight="1">
      <x:c r="A280" s="20" t="str">
        <x:v>Y715</x:v>
      </x:c>
      <x:c r="B280" s="20" t="str">
        <x:v>Barbara</x:v>
      </x:c>
      <x:c r="C280" s="22" t="str">
        <x:v>1012725</x:v>
      </x:c>
      <x:c r="D280" s="4" t="str">
        <x:v>Call sign</x:v>
      </x:c>
      <x:c r="E280" s="4" t="str">
        <x:v>ZGFN2</x:v>
      </x:c>
      <x:c r="F280" s="4" t="str"/>
      <x:c r="G280" s="4" t="str">
        <x:v>Published radio identity</x:v>
      </x:c>
      <x:c r="H280" s="4" t="str">
        <x:v>Published database identity; current registry/radio licence not inspected.</x:v>
      </x:c>
      <x:c r="I280" s="4" t="str">
        <x:v>V715</x:v>
      </x:c>
      <x:c r="J280" s="4" t="str">
        <x:v>https://www.vesselfinder.com/vessels/details/1012725</x:v>
      </x:c>
      <x:c r="K280" s="28" t="n">
        <x:v>46290</x:v>
      </x:c>
    </x:row>
    <x:row r="281" ht="69" customHeight="1">
      <x:c r="A281" s="20" t="str">
        <x:v>Y715</x:v>
      </x:c>
      <x:c r="B281" s="20" t="str">
        <x:v>Barbara</x:v>
      </x:c>
      <x:c r="C281" s="22" t="str">
        <x:v>1012725</x:v>
      </x:c>
      <x:c r="D281" s="4" t="str">
        <x:v>Flag</x:v>
      </x:c>
      <x:c r="E281" s="4" t="str">
        <x:v>Cayman Islands</x:v>
      </x:c>
      <x:c r="F281" s="4" t="str"/>
      <x:c r="G281" s="4" t="str">
        <x:v>Published flag / AIS identity</x:v>
      </x:c>
      <x:c r="H281" s="4" t="str">
        <x:v>Published database identity; current registry/radio licence not inspected.</x:v>
      </x:c>
      <x:c r="I281" s="4" t="str">
        <x:v>V715</x:v>
      </x:c>
      <x:c r="J281" s="4" t="str">
        <x:v>https://www.vesselfinder.com/vessels/details/1012725</x:v>
      </x:c>
      <x:c r="K281" s="28" t="n">
        <x:v>46290</x:v>
      </x:c>
    </x:row>
    <x:row r="282" ht="69" customHeight="1">
      <x:c r="A282" s="20" t="str">
        <x:v>Y715</x:v>
      </x:c>
      <x:c r="B282" s="20" t="str">
        <x:v>Barbara</x:v>
      </x:c>
      <x:c r="C282" s="22" t="str">
        <x:v>1012725</x:v>
      </x:c>
      <x:c r="D282" s="4" t="str">
        <x:v>Preferred published LOA</x:v>
      </x:c>
      <x:c r="E282" s="4" t="n">
        <x:v>88.5</x:v>
      </x:c>
      <x:c r="F282" s="4" t="str">
        <x:v>m</x:v>
      </x:c>
      <x:c r="G282" s="4" t="str">
        <x:v>Builder published overall length</x:v>
      </x:c>
      <x:c r="H282" s="4" t="str">
        <x:v>Not independently measured or certificate-verified.</x:v>
      </x:c>
      <x:c r="I282" s="4" t="str">
        <x:v>B715</x:v>
      </x:c>
      <x:c r="J282" s="4" t="str">
        <x:v>https://www.oceancoyacht.com/fleet/barbara/</x:v>
      </x:c>
      <x:c r="K282" s="28" t="n">
        <x:v>46290</x:v>
      </x:c>
    </x:row>
    <x:row r="283" ht="69" customHeight="1">
      <x:c r="A283" s="20" t="str">
        <x:v>Y715</x:v>
      </x:c>
      <x:c r="B283" s="20" t="str">
        <x:v>Barbara</x:v>
      </x:c>
      <x:c r="C283" s="22" t="str">
        <x:v>1012725</x:v>
      </x:c>
      <x:c r="D283" s="4" t="str">
        <x:v>Preferred published beam</x:v>
      </x:c>
      <x:c r="E283" s="4" t="n">
        <x:v>14.5</x:v>
      </x:c>
      <x:c r="F283" s="4" t="str">
        <x:v>m</x:v>
      </x:c>
      <x:c r="G283" s="4" t="str">
        <x:v>Builder published overall beam</x:v>
      </x:c>
      <x:c r="H283" s="4" t="str">
        <x:v>Not moulded breadth unless source explicitly says so.</x:v>
      </x:c>
      <x:c r="I283" s="4" t="str">
        <x:v>B715</x:v>
      </x:c>
      <x:c r="J283" s="4" t="str">
        <x:v>https://www.oceancoyacht.com/fleet/barbara/</x:v>
      </x:c>
      <x:c r="K283" s="28" t="n">
        <x:v>46290</x:v>
      </x:c>
    </x:row>
    <x:row r="284" ht="69" customHeight="1">
      <x:c r="A284" s="20" t="str">
        <x:v>Y715</x:v>
      </x:c>
      <x:c r="B284" s="20" t="str">
        <x:v>Barbara</x:v>
      </x:c>
      <x:c r="C284" s="22" t="str">
        <x:v>1012725</x:v>
      </x:c>
      <x:c r="D284" s="4" t="str">
        <x:v>Working gross tonnage</x:v>
      </x:c>
      <x:c r="E284" s="4" t="n">
        <x:v>2984</x:v>
      </x:c>
      <x:c r="F284" s="4" t="str">
        <x:v>GT</x:v>
      </x:c>
      <x:c r="G284" s="4" t="str">
        <x:v>Database static GT</x:v>
      </x:c>
      <x:c r="H284" s="4" t="str">
        <x:v>GT is not mass/displacement.</x:v>
      </x:c>
      <x:c r="I284" s="4" t="str">
        <x:v>V715</x:v>
      </x:c>
      <x:c r="J284" s="4" t="str">
        <x:v>https://www.vesselfinder.com/vessels/details/1012725</x:v>
      </x:c>
      <x:c r="K284" s="28" t="n">
        <x:v>46290</x:v>
      </x:c>
    </x:row>
    <x:row r="285" ht="69" customHeight="1">
      <x:c r="A285" s="20" t="str">
        <x:v>Y715</x:v>
      </x:c>
      <x:c r="B285" s="20" t="str">
        <x:v>Barbara</x:v>
      </x:c>
      <x:c r="C285" s="22" t="str">
        <x:v>1012725</x:v>
      </x:c>
      <x:c r="D285" s="4" t="str">
        <x:v>Database static LOA</x:v>
      </x:c>
      <x:c r="E285" s="4" t="n">
        <x:v>88.5</x:v>
      </x:c>
      <x:c r="F285" s="4" t="str">
        <x:v>m</x:v>
      </x:c>
      <x:c r="G285" s="4" t="str">
        <x:v>Database static specification, not AIS dimensions</x:v>
      </x:c>
      <x:c r="H285" s="4" t="str">
        <x:v>Builder beam 14.5m; designer as-built 14.2m; database 14.45m. Supplemental data is 2017 configuration.</x:v>
      </x:c>
      <x:c r="I285" s="4" t="str">
        <x:v>V715</x:v>
      </x:c>
      <x:c r="J285" s="4" t="str">
        <x:v>https://www.vesselfinder.com/vessels/details/1012725</x:v>
      </x:c>
      <x:c r="K285" s="28" t="n">
        <x:v>46290</x:v>
      </x:c>
    </x:row>
    <x:row r="286" ht="69" customHeight="1">
      <x:c r="A286" s="20" t="str">
        <x:v>Y715</x:v>
      </x:c>
      <x:c r="B286" s="20" t="str">
        <x:v>Barbara</x:v>
      </x:c>
      <x:c r="C286" s="22" t="str">
        <x:v>1012725</x:v>
      </x:c>
      <x:c r="D286" s="4" t="str">
        <x:v>Database static beam</x:v>
      </x:c>
      <x:c r="E286" s="4" t="n">
        <x:v>14.45</x:v>
      </x:c>
      <x:c r="F286" s="4" t="str">
        <x:v>m</x:v>
      </x:c>
      <x:c r="G286" s="4" t="str">
        <x:v>Database static specification, not AIS dimensions</x:v>
      </x:c>
      <x:c r="H286" s="4" t="str">
        <x:v>Builder beam 14.5m; designer as-built 14.2m; database 14.45m. Supplemental data is 2017 configuration.</x:v>
      </x:c>
      <x:c r="I286" s="4" t="str">
        <x:v>V715</x:v>
      </x:c>
      <x:c r="J286" s="4" t="str">
        <x:v>https://www.vesselfinder.com/vessels/details/1012725</x:v>
      </x:c>
      <x:c r="K286" s="28" t="n">
        <x:v>46290</x:v>
      </x:c>
    </x:row>
    <x:row r="287" ht="69" customHeight="1">
      <x:c r="A287" s="20" t="str">
        <x:v>Y715</x:v>
      </x:c>
      <x:c r="B287" s="20" t="str">
        <x:v>Barbara</x:v>
      </x:c>
      <x:c r="C287" s="22" t="str">
        <x:v>1012725</x:v>
      </x:c>
      <x:c r="D287" s="4" t="str">
        <x:v>Database static GT</x:v>
      </x:c>
      <x:c r="E287" s="4" t="n">
        <x:v>2984</x:v>
      </x:c>
      <x:c r="F287" s="4" t="str">
        <x:v>GT</x:v>
      </x:c>
      <x:c r="G287" s="4" t="str">
        <x:v>Database static specification</x:v>
      </x:c>
      <x:c r="H287" s="4" t="str">
        <x:v>Not a current International Tonnage Certificate.</x:v>
      </x:c>
      <x:c r="I287" s="4" t="str">
        <x:v>V715</x:v>
      </x:c>
      <x:c r="J287" s="4" t="str">
        <x:v>https://www.vesselfinder.com/vessels/details/1012725</x:v>
      </x:c>
      <x:c r="K287" s="28" t="n">
        <x:v>46290</x:v>
      </x:c>
    </x:row>
    <x:row r="288" ht="69" customHeight="1">
      <x:c r="A288" s="20" t="str">
        <x:v>Y715</x:v>
      </x:c>
      <x:c r="B288" s="20" t="str">
        <x:v>Barbara</x:v>
      </x:c>
      <x:c r="C288" s="22" t="str">
        <x:v>1012725</x:v>
      </x:c>
      <x:c r="D288" s="4" t="str">
        <x:v>Database deadweight</x:v>
      </x:c>
      <x:c r="E288" s="4" t="n">
        <x:v>455</x:v>
      </x:c>
      <x:c r="F288" s="4" t="str">
        <x:v>t</x:v>
      </x:c>
      <x:c r="G288" s="4" t="str">
        <x:v>Database static specification</x:v>
      </x:c>
      <x:c r="H288" s="4" t="str">
        <x:v>Deadweight is not displacement or gross tonnage.</x:v>
      </x:c>
      <x:c r="I288" s="4" t="str">
        <x:v>V715</x:v>
      </x:c>
      <x:c r="J288" s="4" t="str">
        <x:v>https://www.vesselfinder.com/vessels/details/1012725</x:v>
      </x:c>
      <x:c r="K288" s="28" t="n">
        <x:v>46290</x:v>
      </x:c>
    </x:row>
    <x:row r="289" ht="69" customHeight="1">
      <x:c r="A289" s="20" t="str">
        <x:v>Y715</x:v>
      </x:c>
      <x:c r="B289" s="20" t="str">
        <x:v>Barbara</x:v>
      </x:c>
      <x:c r="C289" s="22" t="str">
        <x:v>1012725</x:v>
      </x:c>
      <x:c r="D289" s="4" t="str">
        <x:v>Published draft</x:v>
      </x:c>
      <x:c r="E289" s="4" t="n">
        <x:v>3.95</x:v>
      </x:c>
      <x:c r="F289" s="4" t="str">
        <x:v>m</x:v>
      </x:c>
      <x:c r="G289" s="4" t="str">
        <x:v>Designer as-built 2017 configuration</x:v>
      </x:c>
      <x:c r="H289" s="4" t="str">
        <x:v>Not confirmed as current operating configuration.</x:v>
      </x:c>
      <x:c r="I289" s="4" t="str">
        <x:v>Y715</x:v>
      </x:c>
      <x:c r="J289" s="4" t="str">
        <x:v>https://www.sorgiovanniinteriors.com.au/barbara/</x:v>
      </x:c>
      <x:c r="K289" s="28" t="n">
        <x:v>46290</x:v>
      </x:c>
    </x:row>
    <x:row r="290" ht="69" customHeight="1">
      <x:c r="A290" s="20" t="str">
        <x:v>Y715</x:v>
      </x:c>
      <x:c r="B290" s="20" t="str">
        <x:v>Barbara</x:v>
      </x:c>
      <x:c r="C290" s="22" t="str">
        <x:v>1012725</x:v>
      </x:c>
      <x:c r="D290" s="4" t="str">
        <x:v>Hull material</x:v>
      </x:c>
      <x:c r="E290" s="4" t="str">
        <x:v>Steel</x:v>
      </x:c>
      <x:c r="F290" s="4" t="str"/>
      <x:c r="G290" s="4" t="str">
        <x:v>Designer as-built 2017 configuration</x:v>
      </x:c>
      <x:c r="H290" s="4" t="str">
        <x:v>Not confirmed as current operating configuration.</x:v>
      </x:c>
      <x:c r="I290" s="4" t="str">
        <x:v>Y715</x:v>
      </x:c>
      <x:c r="J290" s="4" t="str">
        <x:v>https://www.sorgiovanniinteriors.com.au/barbara/</x:v>
      </x:c>
      <x:c r="K290" s="28" t="n">
        <x:v>46290</x:v>
      </x:c>
    </x:row>
    <x:row r="291" ht="69" customHeight="1">
      <x:c r="A291" s="20" t="str">
        <x:v>Y715</x:v>
      </x:c>
      <x:c r="B291" s="20" t="str">
        <x:v>Barbara</x:v>
      </x:c>
      <x:c r="C291" s="22" t="str">
        <x:v>1012725</x:v>
      </x:c>
      <x:c r="D291" s="4" t="str">
        <x:v>Superstructure material</x:v>
      </x:c>
      <x:c r="E291" s="4" t="str">
        <x:v>Aluminium</x:v>
      </x:c>
      <x:c r="F291" s="4" t="str"/>
      <x:c r="G291" s="4" t="str">
        <x:v>Designer as-built 2017 configuration</x:v>
      </x:c>
      <x:c r="H291" s="4" t="str">
        <x:v>Not confirmed as current operating configuration.</x:v>
      </x:c>
      <x:c r="I291" s="4" t="str">
        <x:v>Y715</x:v>
      </x:c>
      <x:c r="J291" s="4" t="str">
        <x:v>https://www.sorgiovanniinteriors.com.au/barbara/</x:v>
      </x:c>
      <x:c r="K291" s="28" t="n">
        <x:v>46290</x:v>
      </x:c>
    </x:row>
    <x:row r="292" ht="69" customHeight="1">
      <x:c r="A292" s="20" t="str">
        <x:v>Y715</x:v>
      </x:c>
      <x:c r="B292" s="20" t="str">
        <x:v>Barbara</x:v>
      </x:c>
      <x:c r="C292" s="22" t="str">
        <x:v>1012725</x:v>
      </x:c>
      <x:c r="D292" s="4" t="str">
        <x:v>Exterior design</x:v>
      </x:c>
      <x:c r="E292" s="4" t="str">
        <x:v>Sam Sorgiovanni</x:v>
      </x:c>
      <x:c r="F292" s="4" t="str"/>
      <x:c r="G292" s="4" t="str">
        <x:v>Builder design credit; original build unless expressly noted</x:v>
      </x:c>
      <x:c r="H292" s="4" t="str"/>
      <x:c r="I292" s="4" t="str">
        <x:v>B715</x:v>
      </x:c>
      <x:c r="J292" s="4" t="str">
        <x:v>https://www.oceancoyacht.com/fleet/barbara/</x:v>
      </x:c>
      <x:c r="K292" s="28" t="n">
        <x:v>46290</x:v>
      </x:c>
    </x:row>
    <x:row r="293" ht="69" customHeight="1">
      <x:c r="A293" s="20" t="str">
        <x:v>Y715</x:v>
      </x:c>
      <x:c r="B293" s="20" t="str">
        <x:v>Barbara</x:v>
      </x:c>
      <x:c r="C293" s="22" t="str">
        <x:v>1012725</x:v>
      </x:c>
      <x:c r="D293" s="4" t="str">
        <x:v>Interior design</x:v>
      </x:c>
      <x:c r="E293" s="4" t="str">
        <x:v>Sam Sorgiovanni</x:v>
      </x:c>
      <x:c r="F293" s="4" t="str"/>
      <x:c r="G293" s="4" t="str">
        <x:v>Builder design credit; may not describe later refit</x:v>
      </x:c>
      <x:c r="H293" s="4" t="str"/>
      <x:c r="I293" s="4" t="str">
        <x:v>B715</x:v>
      </x:c>
      <x:c r="J293" s="4" t="str">
        <x:v>https://www.oceancoyacht.com/fleet/barbara/</x:v>
      </x:c>
      <x:c r="K293" s="28" t="n">
        <x:v>46290</x:v>
      </x:c>
    </x:row>
    <x:row r="294" ht="69" customHeight="1">
      <x:c r="A294" s="20" t="str">
        <x:v>Y715</x:v>
      </x:c>
      <x:c r="B294" s="20" t="str">
        <x:v>Barbara</x:v>
      </x:c>
      <x:c r="C294" s="22" t="str">
        <x:v>1012725</x:v>
      </x:c>
      <x:c r="D294" s="4" t="str">
        <x:v>Cruising speed</x:v>
      </x:c>
      <x:c r="E294" s="4" t="n">
        <x:v>16</x:v>
      </x:c>
      <x:c r="F294" s="4" t="str">
        <x:v>kn</x:v>
      </x:c>
      <x:c r="G294" s="4" t="str">
        <x:v>Designer as-built 2017 configuration</x:v>
      </x:c>
      <x:c r="H294" s="4" t="str">
        <x:v>Not confirmed as current operating configuration.</x:v>
      </x:c>
      <x:c r="I294" s="4" t="str">
        <x:v>Y715</x:v>
      </x:c>
      <x:c r="J294" s="4" t="str">
        <x:v>https://www.sorgiovanniinteriors.com.au/barbara/</x:v>
      </x:c>
      <x:c r="K294" s="28" t="n">
        <x:v>46290</x:v>
      </x:c>
    </x:row>
    <x:row r="295" ht="69" customHeight="1">
      <x:c r="A295" s="20" t="str">
        <x:v>Y715</x:v>
      </x:c>
      <x:c r="B295" s="20" t="str">
        <x:v>Barbara</x:v>
      </x:c>
      <x:c r="C295" s="22" t="str">
        <x:v>1012725</x:v>
      </x:c>
      <x:c r="D295" s="4" t="str">
        <x:v>Maximum motor speed</x:v>
      </x:c>
      <x:c r="E295" s="4" t="n">
        <x:v>19</x:v>
      </x:c>
      <x:c r="F295" s="4" t="str">
        <x:v>kn</x:v>
      </x:c>
      <x:c r="G295" s="4" t="str">
        <x:v>Designer as-built 2017 configuration</x:v>
      </x:c>
      <x:c r="H295" s="4" t="str">
        <x:v>Not confirmed as current operating configuration.</x:v>
      </x:c>
      <x:c r="I295" s="4" t="str">
        <x:v>Y715</x:v>
      </x:c>
      <x:c r="J295" s="4" t="str">
        <x:v>https://www.sorgiovanniinteriors.com.au/barbara/</x:v>
      </x:c>
      <x:c r="K295" s="28" t="n">
        <x:v>46290</x:v>
      </x:c>
    </x:row>
    <x:row r="296" ht="69" customHeight="1">
      <x:c r="A296" s="20" t="str">
        <x:v>Y715</x:v>
      </x:c>
      <x:c r="B296" s="20" t="str">
        <x:v>Barbara</x:v>
      </x:c>
      <x:c r="C296" s="22" t="str">
        <x:v>1012725</x:v>
      </x:c>
      <x:c r="D296" s="4" t="str">
        <x:v>Published guests</x:v>
      </x:c>
      <x:c r="E296" s="4" t="n">
        <x:v>12</x:v>
      </x:c>
      <x:c r="F296" s="4" t="str">
        <x:v>persons</x:v>
      </x:c>
      <x:c r="G296" s="4" t="str">
        <x:v>Designer as-built 2017 configuration</x:v>
      </x:c>
      <x:c r="H296" s="4" t="str">
        <x:v>Not confirmed as current operating configuration.</x:v>
      </x:c>
      <x:c r="I296" s="4" t="str">
        <x:v>Y715</x:v>
      </x:c>
      <x:c r="J296" s="4" t="str">
        <x:v>https://www.sorgiovanniinteriors.com.au/barbara/</x:v>
      </x:c>
      <x:c r="K296" s="28" t="n">
        <x:v>46290</x:v>
      </x:c>
    </x:row>
    <x:row r="297" ht="69" customHeight="1">
      <x:c r="A297" s="20" t="str">
        <x:v>Y715</x:v>
      </x:c>
      <x:c r="B297" s="20" t="str">
        <x:v>Barbara</x:v>
      </x:c>
      <x:c r="C297" s="22" t="str">
        <x:v>1012725</x:v>
      </x:c>
      <x:c r="D297" s="4" t="str">
        <x:v>Published crew</x:v>
      </x:c>
      <x:c r="E297" s="4" t="n">
        <x:v>27</x:v>
      </x:c>
      <x:c r="F297" s="4" t="str">
        <x:v>persons</x:v>
      </x:c>
      <x:c r="G297" s="4" t="str">
        <x:v>Designer as-built 2017 configuration</x:v>
      </x:c>
      <x:c r="H297" s="4" t="str">
        <x:v>Not confirmed as current operating configuration.</x:v>
      </x:c>
      <x:c r="I297" s="4" t="str">
        <x:v>Y715</x:v>
      </x:c>
      <x:c r="J297" s="4" t="str">
        <x:v>https://www.sorgiovanniinteriors.com.au/barbara/</x:v>
      </x:c>
      <x:c r="K297" s="28" t="n">
        <x:v>46290</x:v>
      </x:c>
    </x:row>
    <x:row r="298" ht="69" customHeight="1">
      <x:c r="A298" s="20" t="str">
        <x:v>Y715</x:v>
      </x:c>
      <x:c r="B298" s="20" t="str">
        <x:v>Barbara</x:v>
      </x:c>
      <x:c r="C298" s="22" t="str">
        <x:v>1012725</x:v>
      </x:c>
      <x:c r="D298" s="4" t="str">
        <x:v>Designer as-built beam</x:v>
      </x:c>
      <x:c r="E298" s="4" t="n">
        <x:v>14.2</x:v>
      </x:c>
      <x:c r="F298" s="4" t="str">
        <x:v>m</x:v>
      </x:c>
      <x:c r="G298" s="4" t="str">
        <x:v>As-built designer publication</x:v>
      </x:c>
      <x:c r="H298" s="4" t="str">
        <x:v>Current Oceanco page says 14.5m.</x:v>
      </x:c>
      <x:c r="I298" s="4" t="str">
        <x:v>Y715</x:v>
      </x:c>
      <x:c r="J298" s="4" t="str">
        <x:v>https://www.sorgiovanniinteriors.com.au/barbara/</x:v>
      </x:c>
      <x:c r="K298" s="28" t="n">
        <x:v>46290</x:v>
      </x:c>
    </x:row>
    <x:row r="299" ht="69" customHeight="1">
      <x:c r="A299" s="20" t="str">
        <x:v>Y716</x:v>
      </x:c>
      <x:c r="B299" s="20" t="str">
        <x:v>SHODAN</x:v>
      </x:c>
      <x:c r="C299" s="22" t="str">
        <x:v>1012919</x:v>
      </x:c>
      <x:c r="D299" s="4" t="str">
        <x:v>Yard code</x:v>
      </x:c>
      <x:c r="E299" s="4" t="str">
        <x:v>Y716</x:v>
      </x:c>
      <x:c r="F299" s="4" t="str"/>
      <x:c r="G299" s="4" t="str">
        <x:v>Public build-to-vessel cross-reference</x:v>
      </x:c>
      <x:c r="H299" s="4" t="str">
        <x:v>No builder certificate inspected.</x:v>
      </x:c>
      <x:c r="I299" s="4" t="str">
        <x:v>Y716</x:v>
      </x:c>
      <x:c r="J299" s="4" t="str">
        <x:v>https://www.shipspotting.com/photos/3245295</x:v>
      </x:c>
      <x:c r="K299" s="28" t="n">
        <x:v>46290</x:v>
      </x:c>
    </x:row>
    <x:row r="300" ht="69" customHeight="1">
      <x:c r="A300" s="20" t="str">
        <x:v>Y716</x:v>
      </x:c>
      <x:c r="B300" s="20" t="str">
        <x:v>SHODAN</x:v>
      </x:c>
      <x:c r="C300" s="22" t="str">
        <x:v>1012919</x:v>
      </x:c>
      <x:c r="D300" s="4" t="str">
        <x:v>Current published name</x:v>
      </x:c>
      <x:c r="E300" s="4" t="str">
        <x:v>SHODAN</x:v>
      </x:c>
      <x:c r="F300" s="4" t="str"/>
      <x:c r="G300" s="4" t="str">
        <x:v>Builder fleet publication</x:v>
      </x:c>
      <x:c r="H300" s="4" t="str">
        <x:v>Name may change after retrieval.</x:v>
      </x:c>
      <x:c r="I300" s="4" t="str">
        <x:v>B716</x:v>
      </x:c>
      <x:c r="J300" s="4" t="str">
        <x:v>https://www.oceancoyacht.com/fleet/shodan/</x:v>
      </x:c>
      <x:c r="K300" s="28" t="n">
        <x:v>46290</x:v>
      </x:c>
    </x:row>
    <x:row r="301" ht="69" customHeight="1">
      <x:c r="A301" s="20" t="str">
        <x:v>Y716</x:v>
      </x:c>
      <x:c r="B301" s="20" t="str">
        <x:v>SHODAN</x:v>
      </x:c>
      <x:c r="C301" s="22" t="str">
        <x:v>1012919</x:v>
      </x:c>
      <x:c r="D301" s="4" t="str">
        <x:v>Former names / aliases</x:v>
      </x:c>
      <x:c r="E301" s="4" t="str">
        <x:v>DreAMBoat (90m)</x:v>
      </x:c>
      <x:c r="F301" s="4" t="str"/>
      <x:c r="G301" s="4" t="str">
        <x:v>Published name history / alias</x:v>
      </x:c>
      <x:c r="H301" s="4" t="str">
        <x:v>Not a certified complete sequence; dates not inferred.</x:v>
      </x:c>
      <x:c r="I301" s="4" t="str">
        <x:v>V716</x:v>
      </x:c>
      <x:c r="J301" s="4" t="str">
        <x:v>https://www.vesselfinder.com/vessels/details/1012919</x:v>
      </x:c>
      <x:c r="K301" s="28" t="n">
        <x:v>46290</x:v>
      </x:c>
    </x:row>
    <x:row r="302" ht="69" customHeight="1">
      <x:c r="A302" s="20" t="str">
        <x:v>Y716</x:v>
      </x:c>
      <x:c r="B302" s="20" t="str">
        <x:v>SHODAN</x:v>
      </x:c>
      <x:c r="C302" s="22" t="str">
        <x:v>1012919</x:v>
      </x:c>
      <x:c r="D302" s="4" t="str">
        <x:v>Delivered</x:v>
      </x:c>
      <x:c r="E302" s="4" t="n">
        <x:v>2019</x:v>
      </x:c>
      <x:c r="F302" s="4" t="str">
        <x:v>year</x:v>
      </x:c>
      <x:c r="G302" s="4" t="str">
        <x:v>Builder delivery year</x:v>
      </x:c>
      <x:c r="H302" s="4" t="str">
        <x:v>Do not equate with keel-laying or launch year.</x:v>
      </x:c>
      <x:c r="I302" s="4" t="str">
        <x:v>B716</x:v>
      </x:c>
      <x:c r="J302" s="4" t="str">
        <x:v>https://www.oceancoyacht.com/fleet/shodan/</x:v>
      </x:c>
      <x:c r="K302" s="28" t="n">
        <x:v>46290</x:v>
      </x:c>
    </x:row>
    <x:row r="303" ht="69" customHeight="1">
      <x:c r="A303" s="20" t="str">
        <x:v>Y716</x:v>
      </x:c>
      <x:c r="B303" s="20" t="str">
        <x:v>SHODAN</x:v>
      </x:c>
      <x:c r="C303" s="22" t="str">
        <x:v>1012919</x:v>
      </x:c>
      <x:c r="D303" s="4" t="str">
        <x:v>IMO</x:v>
      </x:c>
      <x:c r="E303" s="4" t="str">
        <x:v>1012919</x:v>
      </x:c>
      <x:c r="F303" s="4" t="str"/>
      <x:c r="G303" s="4" t="str">
        <x:v>Database static vessel particulars</x:v>
      </x:c>
      <x:c r="H303" s="4" t="str">
        <x:v>Checksum passed; checksum does not independently confirm identity.</x:v>
      </x:c>
      <x:c r="I303" s="4" t="str">
        <x:v>V716</x:v>
      </x:c>
      <x:c r="J303" s="4" t="str">
        <x:v>https://www.vesselfinder.com/vessels/details/1012919</x:v>
      </x:c>
      <x:c r="K303" s="28" t="n">
        <x:v>46290</x:v>
      </x:c>
    </x:row>
    <x:row r="304" ht="69" customHeight="1">
      <x:c r="A304" s="20" t="str">
        <x:v>Y716</x:v>
      </x:c>
      <x:c r="B304" s="20" t="str">
        <x:v>SHODAN</x:v>
      </x:c>
      <x:c r="C304" s="22" t="str">
        <x:v>1012919</x:v>
      </x:c>
      <x:c r="D304" s="4" t="str">
        <x:v>MMSI</x:v>
      </x:c>
      <x:c r="E304" s="4" t="str">
        <x:v>319151300</x:v>
      </x:c>
      <x:c r="F304" s="4" t="str"/>
      <x:c r="G304" s="4" t="str">
        <x:v>Published radio identity</x:v>
      </x:c>
      <x:c r="H304" s="4" t="str">
        <x:v>Published database identity; current registry/radio licence not inspected.</x:v>
      </x:c>
      <x:c r="I304" s="4" t="str">
        <x:v>V716</x:v>
      </x:c>
      <x:c r="J304" s="4" t="str">
        <x:v>https://www.vesselfinder.com/vessels/details/1012919</x:v>
      </x:c>
      <x:c r="K304" s="28" t="n">
        <x:v>46290</x:v>
      </x:c>
    </x:row>
    <x:row r="305" ht="69" customHeight="1">
      <x:c r="A305" s="20" t="str">
        <x:v>Y716</x:v>
      </x:c>
      <x:c r="B305" s="20" t="str">
        <x:v>SHODAN</x:v>
      </x:c>
      <x:c r="C305" s="22" t="str">
        <x:v>1012919</x:v>
      </x:c>
      <x:c r="D305" s="4" t="str">
        <x:v>Call sign</x:v>
      </x:c>
      <x:c r="E305" s="4" t="str">
        <x:v>ZGIC7</x:v>
      </x:c>
      <x:c r="F305" s="4" t="str"/>
      <x:c r="G305" s="4" t="str">
        <x:v>Published radio identity</x:v>
      </x:c>
      <x:c r="H305" s="4" t="str">
        <x:v>Published database identity; current registry/radio licence not inspected.</x:v>
      </x:c>
      <x:c r="I305" s="4" t="str">
        <x:v>V716</x:v>
      </x:c>
      <x:c r="J305" s="4" t="str">
        <x:v>https://www.vesselfinder.com/vessels/details/1012919</x:v>
      </x:c>
      <x:c r="K305" s="28" t="n">
        <x:v>46290</x:v>
      </x:c>
    </x:row>
    <x:row r="306" ht="69" customHeight="1">
      <x:c r="A306" s="20" t="str">
        <x:v>Y716</x:v>
      </x:c>
      <x:c r="B306" s="20" t="str">
        <x:v>SHODAN</x:v>
      </x:c>
      <x:c r="C306" s="22" t="str">
        <x:v>1012919</x:v>
      </x:c>
      <x:c r="D306" s="4" t="str">
        <x:v>Flag</x:v>
      </x:c>
      <x:c r="E306" s="4" t="str">
        <x:v>Cayman Islands</x:v>
      </x:c>
      <x:c r="F306" s="4" t="str"/>
      <x:c r="G306" s="4" t="str">
        <x:v>Published flag / AIS identity</x:v>
      </x:c>
      <x:c r="H306" s="4" t="str">
        <x:v>Published database identity; current registry/radio licence not inspected.</x:v>
      </x:c>
      <x:c r="I306" s="4" t="str">
        <x:v>V716</x:v>
      </x:c>
      <x:c r="J306" s="4" t="str">
        <x:v>https://www.vesselfinder.com/vessels/details/1012919</x:v>
      </x:c>
      <x:c r="K306" s="28" t="n">
        <x:v>46290</x:v>
      </x:c>
    </x:row>
    <x:row r="307" ht="69" customHeight="1">
      <x:c r="A307" s="20" t="str">
        <x:v>Y716</x:v>
      </x:c>
      <x:c r="B307" s="20" t="str">
        <x:v>SHODAN</x:v>
      </x:c>
      <x:c r="C307" s="22" t="str">
        <x:v>1012919</x:v>
      </x:c>
      <x:c r="D307" s="4" t="str">
        <x:v>Preferred published LOA</x:v>
      </x:c>
      <x:c r="E307" s="4" t="n">
        <x:v>90</x:v>
      </x:c>
      <x:c r="F307" s="4" t="str">
        <x:v>m</x:v>
      </x:c>
      <x:c r="G307" s="4" t="str">
        <x:v>Builder published overall length</x:v>
      </x:c>
      <x:c r="H307" s="4" t="str">
        <x:v>Not independently measured or certificate-verified.</x:v>
      </x:c>
      <x:c r="I307" s="4" t="str">
        <x:v>B716</x:v>
      </x:c>
      <x:c r="J307" s="4" t="str">
        <x:v>https://www.oceancoyacht.com/fleet/shodan/</x:v>
      </x:c>
      <x:c r="K307" s="28" t="n">
        <x:v>46290</x:v>
      </x:c>
    </x:row>
    <x:row r="308" ht="69" customHeight="1">
      <x:c r="A308" s="20" t="str">
        <x:v>Y716</x:v>
      </x:c>
      <x:c r="B308" s="20" t="str">
        <x:v>SHODAN</x:v>
      </x:c>
      <x:c r="C308" s="22" t="str">
        <x:v>1012919</x:v>
      </x:c>
      <x:c r="D308" s="4" t="str">
        <x:v>Preferred published beam</x:v>
      </x:c>
      <x:c r="E308" s="4" t="n">
        <x:v>14.2</x:v>
      </x:c>
      <x:c r="F308" s="4" t="str">
        <x:v>m</x:v>
      </x:c>
      <x:c r="G308" s="4" t="str">
        <x:v>Builder published overall beam</x:v>
      </x:c>
      <x:c r="H308" s="4" t="str">
        <x:v>Not moulded breadth unless source explicitly says so.</x:v>
      </x:c>
      <x:c r="I308" s="4" t="str">
        <x:v>B716</x:v>
      </x:c>
      <x:c r="J308" s="4" t="str">
        <x:v>https://www.oceancoyacht.com/fleet/shodan/</x:v>
      </x:c>
      <x:c r="K308" s="28" t="n">
        <x:v>46290</x:v>
      </x:c>
    </x:row>
    <x:row r="309" ht="69" customHeight="1">
      <x:c r="A309" s="20" t="str">
        <x:v>Y716</x:v>
      </x:c>
      <x:c r="B309" s="20" t="str">
        <x:v>SHODAN</x:v>
      </x:c>
      <x:c r="C309" s="22" t="str">
        <x:v>1012919</x:v>
      </x:c>
      <x:c r="D309" s="4" t="str">
        <x:v>Working gross tonnage</x:v>
      </x:c>
      <x:c r="E309" s="4" t="n">
        <x:v>2946</x:v>
      </x:c>
      <x:c r="F309" s="4" t="str">
        <x:v>GT</x:v>
      </x:c>
      <x:c r="G309" s="4" t="str">
        <x:v>Database static GT</x:v>
      </x:c>
      <x:c r="H309" s="4" t="str">
        <x:v>GT is not mass/displacement.</x:v>
      </x:c>
      <x:c r="I309" s="4" t="str">
        <x:v>V716</x:v>
      </x:c>
      <x:c r="J309" s="4" t="str">
        <x:v>https://www.vesselfinder.com/vessels/details/1012919</x:v>
      </x:c>
      <x:c r="K309" s="28" t="n">
        <x:v>46290</x:v>
      </x:c>
    </x:row>
    <x:row r="310" ht="69" customHeight="1">
      <x:c r="A310" s="20" t="str">
        <x:v>Y716</x:v>
      </x:c>
      <x:c r="B310" s="20" t="str">
        <x:v>SHODAN</x:v>
      </x:c>
      <x:c r="C310" s="22" t="str">
        <x:v>1012919</x:v>
      </x:c>
      <x:c r="D310" s="4" t="str">
        <x:v>Database static LOA</x:v>
      </x:c>
      <x:c r="E310" s="4" t="n">
        <x:v>90</x:v>
      </x:c>
      <x:c r="F310" s="4" t="str">
        <x:v>m</x:v>
      </x:c>
      <x:c r="G310" s="4" t="str">
        <x:v>Database static specification, not AIS dimensions</x:v>
      </x:c>
      <x:c r="H310" s="4" t="str">
        <x:v>Former 90m DreAMBoat; separate IMO and yard number from 111m DreAMBoat (Y726).</x:v>
      </x:c>
      <x:c r="I310" s="4" t="str">
        <x:v>V716</x:v>
      </x:c>
      <x:c r="J310" s="4" t="str">
        <x:v>https://www.vesselfinder.com/vessels/details/1012919</x:v>
      </x:c>
      <x:c r="K310" s="28" t="n">
        <x:v>46290</x:v>
      </x:c>
    </x:row>
    <x:row r="311" ht="69" customHeight="1">
      <x:c r="A311" s="20" t="str">
        <x:v>Y716</x:v>
      </x:c>
      <x:c r="B311" s="20" t="str">
        <x:v>SHODAN</x:v>
      </x:c>
      <x:c r="C311" s="22" t="str">
        <x:v>1012919</x:v>
      </x:c>
      <x:c r="D311" s="4" t="str">
        <x:v>Database static beam</x:v>
      </x:c>
      <x:c r="E311" s="4" t="n">
        <x:v>14.2</x:v>
      </x:c>
      <x:c r="F311" s="4" t="str">
        <x:v>m</x:v>
      </x:c>
      <x:c r="G311" s="4" t="str">
        <x:v>Database static specification, not AIS dimensions</x:v>
      </x:c>
      <x:c r="H311" s="4" t="str">
        <x:v>Former 90m DreAMBoat; separate IMO and yard number from 111m DreAMBoat (Y726).</x:v>
      </x:c>
      <x:c r="I311" s="4" t="str">
        <x:v>V716</x:v>
      </x:c>
      <x:c r="J311" s="4" t="str">
        <x:v>https://www.vesselfinder.com/vessels/details/1012919</x:v>
      </x:c>
      <x:c r="K311" s="28" t="n">
        <x:v>46290</x:v>
      </x:c>
    </x:row>
    <x:row r="312" ht="69" customHeight="1">
      <x:c r="A312" s="20" t="str">
        <x:v>Y716</x:v>
      </x:c>
      <x:c r="B312" s="20" t="str">
        <x:v>SHODAN</x:v>
      </x:c>
      <x:c r="C312" s="22" t="str">
        <x:v>1012919</x:v>
      </x:c>
      <x:c r="D312" s="4" t="str">
        <x:v>Database static GT</x:v>
      </x:c>
      <x:c r="E312" s="4" t="n">
        <x:v>2946</x:v>
      </x:c>
      <x:c r="F312" s="4" t="str">
        <x:v>GT</x:v>
      </x:c>
      <x:c r="G312" s="4" t="str">
        <x:v>Database static specification</x:v>
      </x:c>
      <x:c r="H312" s="4" t="str">
        <x:v>Not a current International Tonnage Certificate.</x:v>
      </x:c>
      <x:c r="I312" s="4" t="str">
        <x:v>V716</x:v>
      </x:c>
      <x:c r="J312" s="4" t="str">
        <x:v>https://www.vesselfinder.com/vessels/details/1012919</x:v>
      </x:c>
      <x:c r="K312" s="28" t="n">
        <x:v>46290</x:v>
      </x:c>
    </x:row>
    <x:row r="313" ht="69" customHeight="1">
      <x:c r="A313" s="20" t="str">
        <x:v>Y716</x:v>
      </x:c>
      <x:c r="B313" s="20" t="str">
        <x:v>SHODAN</x:v>
      </x:c>
      <x:c r="C313" s="22" t="str">
        <x:v>1012919</x:v>
      </x:c>
      <x:c r="D313" s="4" t="str">
        <x:v>Exterior design</x:v>
      </x:c>
      <x:c r="E313" s="4" t="str">
        <x:v>Espen Øino</x:v>
      </x:c>
      <x:c r="F313" s="4" t="str"/>
      <x:c r="G313" s="4" t="str">
        <x:v>Builder design credit; original build unless expressly noted</x:v>
      </x:c>
      <x:c r="H313" s="4" t="str"/>
      <x:c r="I313" s="4" t="str">
        <x:v>B716</x:v>
      </x:c>
      <x:c r="J313" s="4" t="str">
        <x:v>https://www.oceancoyacht.com/fleet/shodan/</x:v>
      </x:c>
      <x:c r="K313" s="28" t="n">
        <x:v>46290</x:v>
      </x:c>
    </x:row>
    <x:row r="314" ht="69" customHeight="1">
      <x:c r="A314" s="20" t="str">
        <x:v>Y716</x:v>
      </x:c>
      <x:c r="B314" s="20" t="str">
        <x:v>SHODAN</x:v>
      </x:c>
      <x:c r="C314" s="22" t="str">
        <x:v>1012919</x:v>
      </x:c>
      <x:c r="D314" s="4" t="str">
        <x:v>Interior design</x:v>
      </x:c>
      <x:c r="E314" s="4" t="str">
        <x:v>Terence Disdale</x:v>
      </x:c>
      <x:c r="F314" s="4" t="str"/>
      <x:c r="G314" s="4" t="str">
        <x:v>Builder design credit; may not describe later refit</x:v>
      </x:c>
      <x:c r="H314" s="4" t="str"/>
      <x:c r="I314" s="4" t="str">
        <x:v>B716</x:v>
      </x:c>
      <x:c r="J314" s="4" t="str">
        <x:v>https://www.oceancoyacht.com/fleet/shodan/</x:v>
      </x:c>
      <x:c r="K314" s="28" t="n">
        <x:v>46290</x:v>
      </x:c>
    </x:row>
    <x:row r="315" ht="69" customHeight="1">
      <x:c r="A315" s="20" t="str">
        <x:v>Y716</x:v>
      </x:c>
      <x:c r="B315" s="20" t="str">
        <x:v>SHODAN</x:v>
      </x:c>
      <x:c r="C315" s="22" t="str">
        <x:v>1012919</x:v>
      </x:c>
      <x:c r="D315" s="4" t="str">
        <x:v>Published guests</x:v>
      </x:c>
      <x:c r="E315" s="4" t="n">
        <x:v>23</x:v>
      </x:c>
      <x:c r="F315" s="4" t="str">
        <x:v>persons</x:v>
      </x:c>
      <x:c r="G315" s="4" t="str">
        <x:v>Builder published accommodation; not charter/certified passenger limit</x:v>
      </x:c>
      <x:c r="H315" s="4" t="str"/>
      <x:c r="I315" s="4" t="str">
        <x:v>B716</x:v>
      </x:c>
      <x:c r="J315" s="4" t="str">
        <x:v>https://www.oceancoyacht.com/fleet/shodan/</x:v>
      </x:c>
      <x:c r="K315" s="28" t="n">
        <x:v>46290</x:v>
      </x:c>
    </x:row>
    <x:row r="316" ht="69" customHeight="1">
      <x:c r="A316" s="20" t="str">
        <x:v>Y717</x:v>
      </x:c>
      <x:c r="B316" s="20" t="str">
        <x:v>LUNA</x:v>
      </x:c>
      <x:c r="C316" s="22" t="str">
        <x:v>1013066</x:v>
      </x:c>
      <x:c r="D316" s="4" t="str">
        <x:v>Yard code</x:v>
      </x:c>
      <x:c r="E316" s="4" t="str">
        <x:v>Y717</x:v>
      </x:c>
      <x:c r="F316" s="4" t="str"/>
      <x:c r="G316" s="4" t="str">
        <x:v>Public build-to-vessel cross-reference</x:v>
      </x:c>
      <x:c r="H316" s="4" t="str">
        <x:v>No builder certificate inspected.</x:v>
      </x:c>
      <x:c r="I316" s="4" t="str">
        <x:v>TC</x:v>
      </x:c>
      <x:c r="J316" s="4" t="str">
        <x:v>https://tech-consul.nl/projects</x:v>
      </x:c>
      <x:c r="K316" s="28" t="n">
        <x:v>46290</x:v>
      </x:c>
    </x:row>
    <x:row r="317" ht="69" customHeight="1">
      <x:c r="A317" s="20" t="str">
        <x:v>Y717</x:v>
      </x:c>
      <x:c r="B317" s="20" t="str">
        <x:v>LUNA</x:v>
      </x:c>
      <x:c r="C317" s="22" t="str">
        <x:v>1013066</x:v>
      </x:c>
      <x:c r="D317" s="4" t="str">
        <x:v>Current published name</x:v>
      </x:c>
      <x:c r="E317" s="4" t="str">
        <x:v>LUNA</x:v>
      </x:c>
      <x:c r="F317" s="4" t="str"/>
      <x:c r="G317" s="4" t="str">
        <x:v>Builder fleet publication</x:v>
      </x:c>
      <x:c r="H317" s="4" t="str">
        <x:v>Name may change after retrieval.</x:v>
      </x:c>
      <x:c r="I317" s="4" t="str">
        <x:v>B717</x:v>
      </x:c>
      <x:c r="J317" s="4" t="str">
        <x:v>https://www.oceancoyacht.com/fleet/luna/</x:v>
      </x:c>
      <x:c r="K317" s="28" t="n">
        <x:v>46290</x:v>
      </x:c>
    </x:row>
    <x:row r="318" ht="69" customHeight="1">
      <x:c r="A318" s="20" t="str">
        <x:v>Y717</x:v>
      </x:c>
      <x:c r="B318" s="20" t="str">
        <x:v>LUNA</x:v>
      </x:c>
      <x:c r="C318" s="22" t="str">
        <x:v>1013066</x:v>
      </x:c>
      <x:c r="D318" s="4" t="str">
        <x:v>Former names / aliases</x:v>
      </x:c>
      <x:c r="E318" s="4" t="str">
        <x:v>Dar</x:v>
      </x:c>
      <x:c r="F318" s="4" t="str"/>
      <x:c r="G318" s="4" t="str">
        <x:v>Published name history / alias</x:v>
      </x:c>
      <x:c r="H318" s="4" t="str">
        <x:v>Not a certified complete sequence; dates not inferred.</x:v>
      </x:c>
      <x:c r="I318" s="4" t="str">
        <x:v>V717</x:v>
      </x:c>
      <x:c r="J318" s="4" t="str">
        <x:v>https://www.vesselfinder.com/vessels/details/1013066</x:v>
      </x:c>
      <x:c r="K318" s="28" t="n">
        <x:v>46290</x:v>
      </x:c>
    </x:row>
    <x:row r="319" ht="69" customHeight="1">
      <x:c r="A319" s="20" t="str">
        <x:v>Y717</x:v>
      </x:c>
      <x:c r="B319" s="20" t="str">
        <x:v>LUNA</x:v>
      </x:c>
      <x:c r="C319" s="22" t="str">
        <x:v>1013066</x:v>
      </x:c>
      <x:c r="D319" s="4" t="str">
        <x:v>Delivered</x:v>
      </x:c>
      <x:c r="E319" s="4" t="n">
        <x:v>2018</x:v>
      </x:c>
      <x:c r="F319" s="4" t="str">
        <x:v>year</x:v>
      </x:c>
      <x:c r="G319" s="4" t="str">
        <x:v>Builder delivery year</x:v>
      </x:c>
      <x:c r="H319" s="4" t="str">
        <x:v>Do not equate with keel-laying or launch year.</x:v>
      </x:c>
      <x:c r="I319" s="4" t="str">
        <x:v>B717</x:v>
      </x:c>
      <x:c r="J319" s="4" t="str">
        <x:v>https://www.oceancoyacht.com/fleet/luna/</x:v>
      </x:c>
      <x:c r="K319" s="28" t="n">
        <x:v>46290</x:v>
      </x:c>
    </x:row>
    <x:row r="320" ht="69" customHeight="1">
      <x:c r="A320" s="20" t="str">
        <x:v>Y717</x:v>
      </x:c>
      <x:c r="B320" s="20" t="str">
        <x:v>LUNA</x:v>
      </x:c>
      <x:c r="C320" s="22" t="str">
        <x:v>1013066</x:v>
      </x:c>
      <x:c r="D320" s="4" t="str">
        <x:v>IMO</x:v>
      </x:c>
      <x:c r="E320" s="4" t="str">
        <x:v>1013066</x:v>
      </x:c>
      <x:c r="F320" s="4" t="str"/>
      <x:c r="G320" s="4" t="str">
        <x:v>Database static vessel particulars</x:v>
      </x:c>
      <x:c r="H320" s="4" t="str">
        <x:v>Checksum passed; checksum does not independently confirm identity.</x:v>
      </x:c>
      <x:c r="I320" s="4" t="str">
        <x:v>V717</x:v>
      </x:c>
      <x:c r="J320" s="4" t="str">
        <x:v>https://www.vesselfinder.com/vessels/details/1013066</x:v>
      </x:c>
      <x:c r="K320" s="28" t="n">
        <x:v>46290</x:v>
      </x:c>
    </x:row>
    <x:row r="321" ht="69" customHeight="1">
      <x:c r="A321" s="20" t="str">
        <x:v>Y717</x:v>
      </x:c>
      <x:c r="B321" s="20" t="str">
        <x:v>LUNA</x:v>
      </x:c>
      <x:c r="C321" s="22" t="str">
        <x:v>1013066</x:v>
      </x:c>
      <x:c r="D321" s="4" t="str">
        <x:v>MMSI</x:v>
      </x:c>
      <x:c r="E321" s="4" t="str">
        <x:v>319133300</x:v>
      </x:c>
      <x:c r="F321" s="4" t="str"/>
      <x:c r="G321" s="4" t="str">
        <x:v>Published radio identity</x:v>
      </x:c>
      <x:c r="H321" s="4" t="str">
        <x:v>Published database identity; current registry/radio licence not inspected.</x:v>
      </x:c>
      <x:c r="I321" s="4" t="str">
        <x:v>V717</x:v>
      </x:c>
      <x:c r="J321" s="4" t="str">
        <x:v>https://www.vesselfinder.com/vessels/details/1013066</x:v>
      </x:c>
      <x:c r="K321" s="28" t="n">
        <x:v>46290</x:v>
      </x:c>
    </x:row>
    <x:row r="322" ht="69" customHeight="1">
      <x:c r="A322" s="20" t="str">
        <x:v>Y717</x:v>
      </x:c>
      <x:c r="B322" s="20" t="str">
        <x:v>LUNA</x:v>
      </x:c>
      <x:c r="C322" s="22" t="str">
        <x:v>1013066</x:v>
      </x:c>
      <x:c r="D322" s="4" t="str">
        <x:v>Call sign</x:v>
      </x:c>
      <x:c r="E322" s="4" t="str">
        <x:v>ZGHL5</x:v>
      </x:c>
      <x:c r="F322" s="4" t="str"/>
      <x:c r="G322" s="4" t="str">
        <x:v>Published radio identity</x:v>
      </x:c>
      <x:c r="H322" s="4" t="str">
        <x:v>Published database identity; current registry/radio licence not inspected.</x:v>
      </x:c>
      <x:c r="I322" s="4" t="str">
        <x:v>V717</x:v>
      </x:c>
      <x:c r="J322" s="4" t="str">
        <x:v>https://www.vesselfinder.com/vessels/details/1013066</x:v>
      </x:c>
      <x:c r="K322" s="28" t="n">
        <x:v>46290</x:v>
      </x:c>
    </x:row>
    <x:row r="323" ht="69" customHeight="1">
      <x:c r="A323" s="20" t="str">
        <x:v>Y717</x:v>
      </x:c>
      <x:c r="B323" s="20" t="str">
        <x:v>LUNA</x:v>
      </x:c>
      <x:c r="C323" s="22" t="str">
        <x:v>1013066</x:v>
      </x:c>
      <x:c r="D323" s="4" t="str">
        <x:v>Flag</x:v>
      </x:c>
      <x:c r="E323" s="4" t="str">
        <x:v>Cayman Islands</x:v>
      </x:c>
      <x:c r="F323" s="4" t="str"/>
      <x:c r="G323" s="4" t="str">
        <x:v>Published flag / AIS identity</x:v>
      </x:c>
      <x:c r="H323" s="4" t="str">
        <x:v>Published database identity; current registry/radio licence not inspected.</x:v>
      </x:c>
      <x:c r="I323" s="4" t="str">
        <x:v>V717</x:v>
      </x:c>
      <x:c r="J323" s="4" t="str">
        <x:v>https://www.vesselfinder.com/vessels/details/1013066</x:v>
      </x:c>
      <x:c r="K323" s="28" t="n">
        <x:v>46290</x:v>
      </x:c>
    </x:row>
    <x:row r="324" ht="69" customHeight="1">
      <x:c r="A324" s="20" t="str">
        <x:v>Y717</x:v>
      </x:c>
      <x:c r="B324" s="20" t="str">
        <x:v>LUNA</x:v>
      </x:c>
      <x:c r="C324" s="22" t="str">
        <x:v>1013066</x:v>
      </x:c>
      <x:c r="D324" s="4" t="str">
        <x:v>Preferred published LOA</x:v>
      </x:c>
      <x:c r="E324" s="4" t="n">
        <x:v>90</x:v>
      </x:c>
      <x:c r="F324" s="4" t="str">
        <x:v>m</x:v>
      </x:c>
      <x:c r="G324" s="4" t="str">
        <x:v>Builder published overall length</x:v>
      </x:c>
      <x:c r="H324" s="4" t="str">
        <x:v>Not independently measured or certificate-verified.</x:v>
      </x:c>
      <x:c r="I324" s="4" t="str">
        <x:v>B717</x:v>
      </x:c>
      <x:c r="J324" s="4" t="str">
        <x:v>https://www.oceancoyacht.com/fleet/luna/</x:v>
      </x:c>
      <x:c r="K324" s="28" t="n">
        <x:v>46290</x:v>
      </x:c>
    </x:row>
    <x:row r="325" ht="69" customHeight="1">
      <x:c r="A325" s="20" t="str">
        <x:v>Y717</x:v>
      </x:c>
      <x:c r="B325" s="20" t="str">
        <x:v>LUNA</x:v>
      </x:c>
      <x:c r="C325" s="22" t="str">
        <x:v>1013066</x:v>
      </x:c>
      <x:c r="D325" s="4" t="str">
        <x:v>Preferred published beam</x:v>
      </x:c>
      <x:c r="E325" s="4" t="n">
        <x:v>14.2</x:v>
      </x:c>
      <x:c r="F325" s="4" t="str">
        <x:v>m</x:v>
      </x:c>
      <x:c r="G325" s="4" t="str">
        <x:v>Builder published overall beam</x:v>
      </x:c>
      <x:c r="H325" s="4" t="str">
        <x:v>Not moulded breadth unless source explicitly says so.</x:v>
      </x:c>
      <x:c r="I325" s="4" t="str">
        <x:v>B717</x:v>
      </x:c>
      <x:c r="J325" s="4" t="str">
        <x:v>https://www.oceancoyacht.com/fleet/luna/</x:v>
      </x:c>
      <x:c r="K325" s="28" t="n">
        <x:v>46290</x:v>
      </x:c>
    </x:row>
    <x:row r="326" ht="69" customHeight="1">
      <x:c r="A326" s="20" t="str">
        <x:v>Y717</x:v>
      </x:c>
      <x:c r="B326" s="20" t="str">
        <x:v>LUNA</x:v>
      </x:c>
      <x:c r="C326" s="22" t="str">
        <x:v>1013066</x:v>
      </x:c>
      <x:c r="D326" s="4" t="str">
        <x:v>Working gross tonnage</x:v>
      </x:c>
      <x:c r="E326" s="4" t="n">
        <x:v>2926</x:v>
      </x:c>
      <x:c r="F326" s="4" t="str">
        <x:v>GT</x:v>
      </x:c>
      <x:c r="G326" s="4" t="str">
        <x:v>Database static GT</x:v>
      </x:c>
      <x:c r="H326" s="4" t="str">
        <x:v>GT is not mass/displacement.</x:v>
      </x:c>
      <x:c r="I326" s="4" t="str">
        <x:v>V717</x:v>
      </x:c>
      <x:c r="J326" s="4" t="str">
        <x:v>https://www.vesselfinder.com/vessels/details/1013066</x:v>
      </x:c>
      <x:c r="K326" s="28" t="n">
        <x:v>46290</x:v>
      </x:c>
    </x:row>
    <x:row r="327" ht="69" customHeight="1">
      <x:c r="A327" s="20" t="str">
        <x:v>Y717</x:v>
      </x:c>
      <x:c r="B327" s="20" t="str">
        <x:v>LUNA</x:v>
      </x:c>
      <x:c r="C327" s="22" t="str">
        <x:v>1013066</x:v>
      </x:c>
      <x:c r="D327" s="4" t="str">
        <x:v>Database static LOA</x:v>
      </x:c>
      <x:c r="E327" s="4" t="n">
        <x:v>90.13</x:v>
      </x:c>
      <x:c r="F327" s="4" t="str">
        <x:v>m</x:v>
      </x:c>
      <x:c r="G327" s="4" t="str">
        <x:v>Database static specification, not AIS dimensions</x:v>
      </x:c>
      <x:c r="H327" s="4" t="str">
        <x:v>Builder rounds LOA to 90m; Y.CO/database give 90.13m. Database beam 13.8m vs builder 14.2m.</x:v>
      </x:c>
      <x:c r="I327" s="4" t="str">
        <x:v>V717</x:v>
      </x:c>
      <x:c r="J327" s="4" t="str">
        <x:v>https://www.vesselfinder.com/vessels/details/1013066</x:v>
      </x:c>
      <x:c r="K327" s="28" t="n">
        <x:v>46290</x:v>
      </x:c>
    </x:row>
    <x:row r="328" ht="69" customHeight="1">
      <x:c r="A328" s="20" t="str">
        <x:v>Y717</x:v>
      </x:c>
      <x:c r="B328" s="20" t="str">
        <x:v>LUNA</x:v>
      </x:c>
      <x:c r="C328" s="22" t="str">
        <x:v>1013066</x:v>
      </x:c>
      <x:c r="D328" s="4" t="str">
        <x:v>Database static beam</x:v>
      </x:c>
      <x:c r="E328" s="4" t="n">
        <x:v>13.8</x:v>
      </x:c>
      <x:c r="F328" s="4" t="str">
        <x:v>m</x:v>
      </x:c>
      <x:c r="G328" s="4" t="str">
        <x:v>Database static specification, not AIS dimensions</x:v>
      </x:c>
      <x:c r="H328" s="4" t="str">
        <x:v>Builder rounds LOA to 90m; Y.CO/database give 90.13m. Database beam 13.8m vs builder 14.2m.</x:v>
      </x:c>
      <x:c r="I328" s="4" t="str">
        <x:v>V717</x:v>
      </x:c>
      <x:c r="J328" s="4" t="str">
        <x:v>https://www.vesselfinder.com/vessels/details/1013066</x:v>
      </x:c>
      <x:c r="K328" s="28" t="n">
        <x:v>46290</x:v>
      </x:c>
    </x:row>
    <x:row r="329" ht="69" customHeight="1">
      <x:c r="A329" s="20" t="str">
        <x:v>Y717</x:v>
      </x:c>
      <x:c r="B329" s="20" t="str">
        <x:v>LUNA</x:v>
      </x:c>
      <x:c r="C329" s="22" t="str">
        <x:v>1013066</x:v>
      </x:c>
      <x:c r="D329" s="4" t="str">
        <x:v>Database static GT</x:v>
      </x:c>
      <x:c r="E329" s="4" t="n">
        <x:v>2926</x:v>
      </x:c>
      <x:c r="F329" s="4" t="str">
        <x:v>GT</x:v>
      </x:c>
      <x:c r="G329" s="4" t="str">
        <x:v>Database static specification</x:v>
      </x:c>
      <x:c r="H329" s="4" t="str">
        <x:v>Not a current International Tonnage Certificate.</x:v>
      </x:c>
      <x:c r="I329" s="4" t="str">
        <x:v>V717</x:v>
      </x:c>
      <x:c r="J329" s="4" t="str">
        <x:v>https://www.vesselfinder.com/vessels/details/1013066</x:v>
      </x:c>
      <x:c r="K329" s="28" t="n">
        <x:v>46290</x:v>
      </x:c>
    </x:row>
    <x:row r="330" ht="69" customHeight="1">
      <x:c r="A330" s="20" t="str">
        <x:v>Y717</x:v>
      </x:c>
      <x:c r="B330" s="20" t="str">
        <x:v>LUNA</x:v>
      </x:c>
      <x:c r="C330" s="22" t="str">
        <x:v>1013066</x:v>
      </x:c>
      <x:c r="D330" s="4" t="str">
        <x:v>Published draft</x:v>
      </x:c>
      <x:c r="E330" s="4" t="n">
        <x:v>3.95</x:v>
      </x:c>
      <x:c r="F330" s="4" t="str">
        <x:v>m</x:v>
      </x:c>
      <x:c r="G330" s="4" t="str">
        <x:v>Published specification; not certificate-verified</x:v>
      </x:c>
      <x:c r="H330" s="4" t="str">
        <x:v>Published draft; design/max draft basis not stated.</x:v>
      </x:c>
      <x:c r="I330" s="4" t="str">
        <x:v>YC717</x:v>
      </x:c>
      <x:c r="J330" s="4" t="str">
        <x:v>https://y.co/yacht/luna</x:v>
      </x:c>
      <x:c r="K330" s="28" t="n">
        <x:v>46290</x:v>
      </x:c>
    </x:row>
    <x:row r="331" ht="69" customHeight="1">
      <x:c r="A331" s="20" t="str">
        <x:v>Y717</x:v>
      </x:c>
      <x:c r="B331" s="20" t="str">
        <x:v>LUNA</x:v>
      </x:c>
      <x:c r="C331" s="22" t="str">
        <x:v>1013066</x:v>
      </x:c>
      <x:c r="D331" s="4" t="str">
        <x:v>Exterior design</x:v>
      </x:c>
      <x:c r="E331" s="4" t="str">
        <x:v>DeBasto Designs</x:v>
      </x:c>
      <x:c r="F331" s="4" t="str"/>
      <x:c r="G331" s="4" t="str">
        <x:v>Builder design credit; original build unless expressly noted</x:v>
      </x:c>
      <x:c r="H331" s="4" t="str"/>
      <x:c r="I331" s="4" t="str">
        <x:v>B717</x:v>
      </x:c>
      <x:c r="J331" s="4" t="str">
        <x:v>https://www.oceancoyacht.com/fleet/luna/</x:v>
      </x:c>
      <x:c r="K331" s="28" t="n">
        <x:v>46290</x:v>
      </x:c>
    </x:row>
    <x:row r="332" ht="69" customHeight="1">
      <x:c r="A332" s="20" t="str">
        <x:v>Y717</x:v>
      </x:c>
      <x:c r="B332" s="20" t="str">
        <x:v>LUNA</x:v>
      </x:c>
      <x:c r="C332" s="22" t="str">
        <x:v>1013066</x:v>
      </x:c>
      <x:c r="D332" s="4" t="str">
        <x:v>Interior design</x:v>
      </x:c>
      <x:c r="E332" s="4" t="str">
        <x:v>Nuvolari Lenard</x:v>
      </x:c>
      <x:c r="F332" s="4" t="str"/>
      <x:c r="G332" s="4" t="str">
        <x:v>Builder design credit; may not describe later refit</x:v>
      </x:c>
      <x:c r="H332" s="4" t="str"/>
      <x:c r="I332" s="4" t="str">
        <x:v>B717</x:v>
      </x:c>
      <x:c r="J332" s="4" t="str">
        <x:v>https://www.oceancoyacht.com/fleet/luna/</x:v>
      </x:c>
      <x:c r="K332" s="28" t="n">
        <x:v>46290</x:v>
      </x:c>
    </x:row>
    <x:row r="333" ht="69" customHeight="1">
      <x:c r="A333" s="20" t="str">
        <x:v>Y717</x:v>
      </x:c>
      <x:c r="B333" s="20" t="str">
        <x:v>LUNA</x:v>
      </x:c>
      <x:c r="C333" s="22" t="str">
        <x:v>1013066</x:v>
      </x:c>
      <x:c r="D333" s="4" t="str">
        <x:v>Maximum motor speed</x:v>
      </x:c>
      <x:c r="E333" s="4" t="n">
        <x:v>20</x:v>
      </x:c>
      <x:c r="F333" s="4" t="str">
        <x:v>kn</x:v>
      </x:c>
      <x:c r="G333" s="4" t="str">
        <x:v>Published specification; not certificate-verified</x:v>
      </x:c>
      <x:c r="H333" s="4" t="str"/>
      <x:c r="I333" s="4" t="str">
        <x:v>YC717</x:v>
      </x:c>
      <x:c r="J333" s="4" t="str">
        <x:v>https://y.co/yacht/luna</x:v>
      </x:c>
      <x:c r="K333" s="28" t="n">
        <x:v>46290</x:v>
      </x:c>
    </x:row>
    <x:row r="334" ht="69" customHeight="1">
      <x:c r="A334" s="20" t="str">
        <x:v>Y717</x:v>
      </x:c>
      <x:c r="B334" s="20" t="str">
        <x:v>LUNA</x:v>
      </x:c>
      <x:c r="C334" s="22" t="str">
        <x:v>1013066</x:v>
      </x:c>
      <x:c r="D334" s="4" t="str">
        <x:v>Published guests</x:v>
      </x:c>
      <x:c r="E334" s="4" t="n">
        <x:v>12</x:v>
      </x:c>
      <x:c r="F334" s="4" t="str">
        <x:v>persons</x:v>
      </x:c>
      <x:c r="G334" s="4" t="str">
        <x:v>Published specification; not certificate-verified</x:v>
      </x:c>
      <x:c r="H334" s="4" t="str"/>
      <x:c r="I334" s="4" t="str">
        <x:v>YC717</x:v>
      </x:c>
      <x:c r="J334" s="4" t="str">
        <x:v>https://y.co/yacht/luna</x:v>
      </x:c>
      <x:c r="K334" s="28" t="n">
        <x:v>46290</x:v>
      </x:c>
    </x:row>
    <x:row r="335" ht="69" customHeight="1">
      <x:c r="A335" s="20" t="str">
        <x:v>Y717</x:v>
      </x:c>
      <x:c r="B335" s="20" t="str">
        <x:v>LUNA</x:v>
      </x:c>
      <x:c r="C335" s="22" t="str">
        <x:v>1013066</x:v>
      </x:c>
      <x:c r="D335" s="4" t="str">
        <x:v>Published guest cabins</x:v>
      </x:c>
      <x:c r="E335" s="4" t="n">
        <x:v>7</x:v>
      </x:c>
      <x:c r="F335" s="4" t="str">
        <x:v>cabins</x:v>
      </x:c>
      <x:c r="G335" s="4" t="str">
        <x:v>Published specification; not certificate-verified</x:v>
      </x:c>
      <x:c r="H335" s="4" t="str"/>
      <x:c r="I335" s="4" t="str">
        <x:v>YC717</x:v>
      </x:c>
      <x:c r="J335" s="4" t="str">
        <x:v>https://y.co/yacht/luna</x:v>
      </x:c>
      <x:c r="K335" s="28" t="n">
        <x:v>46290</x:v>
      </x:c>
    </x:row>
    <x:row r="336" ht="69" customHeight="1">
      <x:c r="A336" s="20" t="str">
        <x:v>Y717</x:v>
      </x:c>
      <x:c r="B336" s="20" t="str">
        <x:v>LUNA</x:v>
      </x:c>
      <x:c r="C336" s="22" t="str">
        <x:v>1013066</x:v>
      </x:c>
      <x:c r="D336" s="4" t="str">
        <x:v>Published crew</x:v>
      </x:c>
      <x:c r="E336" s="4" t="n">
        <x:v>30</x:v>
      </x:c>
      <x:c r="F336" s="4" t="str">
        <x:v>persons</x:v>
      </x:c>
      <x:c r="G336" s="4" t="str">
        <x:v>Published specification; not certificate-verified</x:v>
      </x:c>
      <x:c r="H336" s="4" t="str"/>
      <x:c r="I336" s="4" t="str">
        <x:v>YC717</x:v>
      </x:c>
      <x:c r="J336" s="4" t="str">
        <x:v>https://y.co/yacht/luna</x:v>
      </x:c>
      <x:c r="K336" s="28" t="n">
        <x:v>46290</x:v>
      </x:c>
    </x:row>
    <x:row r="337" ht="69" customHeight="1">
      <x:c r="A337" s="20" t="str">
        <x:v>Y717</x:v>
      </x:c>
      <x:c r="B337" s="20" t="str">
        <x:v>LUNA</x:v>
      </x:c>
      <x:c r="C337" s="22" t="str">
        <x:v>1013066</x:v>
      </x:c>
      <x:c r="D337" s="4" t="str">
        <x:v>Broker LOA</x:v>
      </x:c>
      <x:c r="E337" s="4" t="n">
        <x:v>90.13</x:v>
      </x:c>
      <x:c r="F337" s="4" t="str">
        <x:v>m</x:v>
      </x:c>
      <x:c r="G337" s="4" t="str">
        <x:v>Broker publication</x:v>
      </x:c>
      <x:c r="H337" s="4" t="str">
        <x:v>Builder rounds to 90m.</x:v>
      </x:c>
      <x:c r="I337" s="4" t="str">
        <x:v>YC717</x:v>
      </x:c>
      <x:c r="J337" s="4" t="str">
        <x:v>https://y.co/yacht/luna</x:v>
      </x:c>
      <x:c r="K337" s="28" t="n">
        <x:v>46290</x:v>
      </x:c>
    </x:row>
    <x:row r="338" ht="69" customHeight="1">
      <x:c r="A338" s="20" t="str">
        <x:v>Y718</x:v>
      </x:c>
      <x:c r="B338" s="20" t="str">
        <x:v>Bravo Eugenia</x:v>
      </x:c>
      <x:c r="C338" s="22" t="str">
        <x:v>1012921</x:v>
      </x:c>
      <x:c r="D338" s="4" t="str">
        <x:v>Yard code</x:v>
      </x:c>
      <x:c r="E338" s="4" t="str">
        <x:v>Y718</x:v>
      </x:c>
      <x:c r="F338" s="4" t="str"/>
      <x:c r="G338" s="4" t="str">
        <x:v>Public build-to-vessel cross-reference</x:v>
      </x:c>
      <x:c r="H338" s="4" t="str">
        <x:v>No builder certificate inspected.</x:v>
      </x:c>
      <x:c r="I338" s="4" t="str">
        <x:v>Y718</x:v>
      </x:c>
      <x:c r="J338" s="4" t="str">
        <x:v>https://www.youtube.com/watch?v=DD-N64-xotE</x:v>
      </x:c>
      <x:c r="K338" s="28" t="n">
        <x:v>46290</x:v>
      </x:c>
    </x:row>
    <x:row r="339" ht="69" customHeight="1">
      <x:c r="A339" s="20" t="str">
        <x:v>Y718</x:v>
      </x:c>
      <x:c r="B339" s="20" t="str">
        <x:v>Bravo Eugenia</x:v>
      </x:c>
      <x:c r="C339" s="22" t="str">
        <x:v>1012921</x:v>
      </x:c>
      <x:c r="D339" s="4" t="str">
        <x:v>Current published name</x:v>
      </x:c>
      <x:c r="E339" s="4" t="str">
        <x:v>Bravo Eugenia</x:v>
      </x:c>
      <x:c r="F339" s="4" t="str"/>
      <x:c r="G339" s="4" t="str">
        <x:v>Builder fleet publication</x:v>
      </x:c>
      <x:c r="H339" s="4" t="str">
        <x:v>Name may change after retrieval.</x:v>
      </x:c>
      <x:c r="I339" s="4" t="str">
        <x:v>B718</x:v>
      </x:c>
      <x:c r="J339" s="4" t="str">
        <x:v>https://www.oceancoyacht.com/fleet/bravo-eugenia/</x:v>
      </x:c>
      <x:c r="K339" s="28" t="n">
        <x:v>46290</x:v>
      </x:c>
    </x:row>
    <x:row r="340" ht="69" customHeight="1">
      <x:c r="A340" s="20" t="str">
        <x:v>Y718</x:v>
      </x:c>
      <x:c r="B340" s="20" t="str">
        <x:v>Bravo Eugenia</x:v>
      </x:c>
      <x:c r="C340" s="22" t="str">
        <x:v>1012921</x:v>
      </x:c>
      <x:c r="D340" s="4" t="str">
        <x:v>Delivered</x:v>
      </x:c>
      <x:c r="E340" s="4" t="n">
        <x:v>2018</x:v>
      </x:c>
      <x:c r="F340" s="4" t="str">
        <x:v>year</x:v>
      </x:c>
      <x:c r="G340" s="4" t="str">
        <x:v>Builder delivery year</x:v>
      </x:c>
      <x:c r="H340" s="4" t="str">
        <x:v>Do not equate with keel-laying or launch year.</x:v>
      </x:c>
      <x:c r="I340" s="4" t="str">
        <x:v>B718</x:v>
      </x:c>
      <x:c r="J340" s="4" t="str">
        <x:v>https://www.oceancoyacht.com/fleet/bravo-eugenia/</x:v>
      </x:c>
      <x:c r="K340" s="28" t="n">
        <x:v>46290</x:v>
      </x:c>
    </x:row>
    <x:row r="341" ht="69" customHeight="1">
      <x:c r="A341" s="20" t="str">
        <x:v>Y718</x:v>
      </x:c>
      <x:c r="B341" s="20" t="str">
        <x:v>Bravo Eugenia</x:v>
      </x:c>
      <x:c r="C341" s="22" t="str">
        <x:v>1012921</x:v>
      </x:c>
      <x:c r="D341" s="4" t="str">
        <x:v>IMO</x:v>
      </x:c>
      <x:c r="E341" s="4" t="str">
        <x:v>1012921</x:v>
      </x:c>
      <x:c r="F341" s="4" t="str"/>
      <x:c r="G341" s="4" t="str">
        <x:v>Database static vessel particulars</x:v>
      </x:c>
      <x:c r="H341" s="4" t="str">
        <x:v>Checksum passed; checksum does not independently confirm identity.</x:v>
      </x:c>
      <x:c r="I341" s="4" t="str">
        <x:v>V718</x:v>
      </x:c>
      <x:c r="J341" s="4" t="str">
        <x:v>https://www.vesselfinder.com/vessels/details/1012921</x:v>
      </x:c>
      <x:c r="K341" s="28" t="n">
        <x:v>46290</x:v>
      </x:c>
    </x:row>
    <x:row r="342" ht="69" customHeight="1">
      <x:c r="A342" s="20" t="str">
        <x:v>Y718</x:v>
      </x:c>
      <x:c r="B342" s="20" t="str">
        <x:v>Bravo Eugenia</x:v>
      </x:c>
      <x:c r="C342" s="22" t="str">
        <x:v>1012921</x:v>
      </x:c>
      <x:c r="D342" s="4" t="str">
        <x:v>MMSI</x:v>
      </x:c>
      <x:c r="E342" s="4" t="str">
        <x:v>319156800</x:v>
      </x:c>
      <x:c r="F342" s="4" t="str"/>
      <x:c r="G342" s="4" t="str">
        <x:v>Published radio identity</x:v>
      </x:c>
      <x:c r="H342" s="4" t="str">
        <x:v>Published database identity; current registry/radio licence not inspected.</x:v>
      </x:c>
      <x:c r="I342" s="4" t="str">
        <x:v>V718</x:v>
      </x:c>
      <x:c r="J342" s="4" t="str">
        <x:v>https://www.vesselfinder.com/vessels/details/1012921</x:v>
      </x:c>
      <x:c r="K342" s="28" t="n">
        <x:v>46290</x:v>
      </x:c>
    </x:row>
    <x:row r="343" ht="69" customHeight="1">
      <x:c r="A343" s="20" t="str">
        <x:v>Y718</x:v>
      </x:c>
      <x:c r="B343" s="20" t="str">
        <x:v>Bravo Eugenia</x:v>
      </x:c>
      <x:c r="C343" s="22" t="str">
        <x:v>1012921</x:v>
      </x:c>
      <x:c r="D343" s="4" t="str">
        <x:v>Call sign</x:v>
      </x:c>
      <x:c r="E343" s="4" t="str">
        <x:v>ZGIL4</x:v>
      </x:c>
      <x:c r="F343" s="4" t="str"/>
      <x:c r="G343" s="4" t="str">
        <x:v>Published radio identity</x:v>
      </x:c>
      <x:c r="H343" s="4" t="str">
        <x:v>Published database identity; current registry/radio licence not inspected.</x:v>
      </x:c>
      <x:c r="I343" s="4" t="str">
        <x:v>V718</x:v>
      </x:c>
      <x:c r="J343" s="4" t="str">
        <x:v>https://www.vesselfinder.com/vessels/details/1012921</x:v>
      </x:c>
      <x:c r="K343" s="28" t="n">
        <x:v>46290</x:v>
      </x:c>
    </x:row>
    <x:row r="344" ht="69" customHeight="1">
      <x:c r="A344" s="20" t="str">
        <x:v>Y718</x:v>
      </x:c>
      <x:c r="B344" s="20" t="str">
        <x:v>Bravo Eugenia</x:v>
      </x:c>
      <x:c r="C344" s="22" t="str">
        <x:v>1012921</x:v>
      </x:c>
      <x:c r="D344" s="4" t="str">
        <x:v>Flag</x:v>
      </x:c>
      <x:c r="E344" s="4" t="str">
        <x:v>Cayman Islands</x:v>
      </x:c>
      <x:c r="F344" s="4" t="str"/>
      <x:c r="G344" s="4" t="str">
        <x:v>Published flag / AIS identity</x:v>
      </x:c>
      <x:c r="H344" s="4" t="str">
        <x:v>Published database identity; current registry/radio licence not inspected.</x:v>
      </x:c>
      <x:c r="I344" s="4" t="str">
        <x:v>V718</x:v>
      </x:c>
      <x:c r="J344" s="4" t="str">
        <x:v>https://www.vesselfinder.com/vessels/details/1012921</x:v>
      </x:c>
      <x:c r="K344" s="28" t="n">
        <x:v>46290</x:v>
      </x:c>
    </x:row>
    <x:row r="345" ht="69" customHeight="1">
      <x:c r="A345" s="20" t="str">
        <x:v>Y718</x:v>
      </x:c>
      <x:c r="B345" s="20" t="str">
        <x:v>Bravo Eugenia</x:v>
      </x:c>
      <x:c r="C345" s="22" t="str">
        <x:v>1012921</x:v>
      </x:c>
      <x:c r="D345" s="4" t="str">
        <x:v>Preferred published LOA</x:v>
      </x:c>
      <x:c r="E345" s="4" t="n">
        <x:v>109</x:v>
      </x:c>
      <x:c r="F345" s="4" t="str">
        <x:v>m</x:v>
      </x:c>
      <x:c r="G345" s="4" t="str">
        <x:v>Builder published overall length</x:v>
      </x:c>
      <x:c r="H345" s="4" t="str">
        <x:v>Not independently measured or certificate-verified.</x:v>
      </x:c>
      <x:c r="I345" s="4" t="str">
        <x:v>B718</x:v>
      </x:c>
      <x:c r="J345" s="4" t="str">
        <x:v>https://www.oceancoyacht.com/fleet/bravo-eugenia/</x:v>
      </x:c>
      <x:c r="K345" s="28" t="n">
        <x:v>46290</x:v>
      </x:c>
    </x:row>
    <x:row r="346" ht="69" customHeight="1">
      <x:c r="A346" s="20" t="str">
        <x:v>Y718</x:v>
      </x:c>
      <x:c r="B346" s="20" t="str">
        <x:v>Bravo Eugenia</x:v>
      </x:c>
      <x:c r="C346" s="22" t="str">
        <x:v>1012921</x:v>
      </x:c>
      <x:c r="D346" s="4" t="str">
        <x:v>Preferred published beam</x:v>
      </x:c>
      <x:c r="E346" s="4" t="n">
        <x:v>16.3</x:v>
      </x:c>
      <x:c r="F346" s="4" t="str">
        <x:v>m</x:v>
      </x:c>
      <x:c r="G346" s="4" t="str">
        <x:v>Builder published overall beam</x:v>
      </x:c>
      <x:c r="H346" s="4" t="str">
        <x:v>Not moulded breadth unless source explicitly says so.</x:v>
      </x:c>
      <x:c r="I346" s="4" t="str">
        <x:v>B718</x:v>
      </x:c>
      <x:c r="J346" s="4" t="str">
        <x:v>https://www.oceancoyacht.com/fleet/bravo-eugenia/</x:v>
      </x:c>
      <x:c r="K346" s="28" t="n">
        <x:v>46290</x:v>
      </x:c>
    </x:row>
    <x:row r="347" ht="69" customHeight="1">
      <x:c r="A347" s="20" t="str">
        <x:v>Y718</x:v>
      </x:c>
      <x:c r="B347" s="20" t="str">
        <x:v>Bravo Eugenia</x:v>
      </x:c>
      <x:c r="C347" s="22" t="str">
        <x:v>1012921</x:v>
      </x:c>
      <x:c r="D347" s="4" t="str">
        <x:v>Working gross tonnage</x:v>
      </x:c>
      <x:c r="E347" s="4" t="n">
        <x:v>3418</x:v>
      </x:c>
      <x:c r="F347" s="4" t="str">
        <x:v>GT</x:v>
      </x:c>
      <x:c r="G347" s="4" t="str">
        <x:v>Database static GT</x:v>
      </x:c>
      <x:c r="H347" s="4" t="str">
        <x:v>GT is not mass/displacement.</x:v>
      </x:c>
      <x:c r="I347" s="4" t="str">
        <x:v>V718</x:v>
      </x:c>
      <x:c r="J347" s="4" t="str">
        <x:v>https://www.vesselfinder.com/vessels/details/1012921</x:v>
      </x:c>
      <x:c r="K347" s="28" t="n">
        <x:v>46290</x:v>
      </x:c>
    </x:row>
    <x:row r="348" ht="69" customHeight="1">
      <x:c r="A348" s="20" t="str">
        <x:v>Y718</x:v>
      </x:c>
      <x:c r="B348" s="20" t="str">
        <x:v>Bravo Eugenia</x:v>
      </x:c>
      <x:c r="C348" s="22" t="str">
        <x:v>1012921</x:v>
      </x:c>
      <x:c r="D348" s="4" t="str">
        <x:v>Database static LOA</x:v>
      </x:c>
      <x:c r="E348" s="4" t="n">
        <x:v>109</x:v>
      </x:c>
      <x:c r="F348" s="4" t="str">
        <x:v>m</x:v>
      </x:c>
      <x:c r="G348" s="4" t="str">
        <x:v>Database static specification, not AIS dimensions</x:v>
      </x:c>
      <x:c r="H348" s="4" t="str">
        <x:v>Builder beam 16.3m vs database 16m.</x:v>
      </x:c>
      <x:c r="I348" s="4" t="str">
        <x:v>V718</x:v>
      </x:c>
      <x:c r="J348" s="4" t="str">
        <x:v>https://www.vesselfinder.com/vessels/details/1012921</x:v>
      </x:c>
      <x:c r="K348" s="28" t="n">
        <x:v>46290</x:v>
      </x:c>
    </x:row>
    <x:row r="349" ht="69" customHeight="1">
      <x:c r="A349" s="20" t="str">
        <x:v>Y718</x:v>
      </x:c>
      <x:c r="B349" s="20" t="str">
        <x:v>Bravo Eugenia</x:v>
      </x:c>
      <x:c r="C349" s="22" t="str">
        <x:v>1012921</x:v>
      </x:c>
      <x:c r="D349" s="4" t="str">
        <x:v>Database static beam</x:v>
      </x:c>
      <x:c r="E349" s="4" t="n">
        <x:v>16</x:v>
      </x:c>
      <x:c r="F349" s="4" t="str">
        <x:v>m</x:v>
      </x:c>
      <x:c r="G349" s="4" t="str">
        <x:v>Database static specification, not AIS dimensions</x:v>
      </x:c>
      <x:c r="H349" s="4" t="str">
        <x:v>Builder beam 16.3m vs database 16m.</x:v>
      </x:c>
      <x:c r="I349" s="4" t="str">
        <x:v>V718</x:v>
      </x:c>
      <x:c r="J349" s="4" t="str">
        <x:v>https://www.vesselfinder.com/vessels/details/1012921</x:v>
      </x:c>
      <x:c r="K349" s="28" t="n">
        <x:v>46290</x:v>
      </x:c>
    </x:row>
    <x:row r="350" ht="69" customHeight="1">
      <x:c r="A350" s="20" t="str">
        <x:v>Y718</x:v>
      </x:c>
      <x:c r="B350" s="20" t="str">
        <x:v>Bravo Eugenia</x:v>
      </x:c>
      <x:c r="C350" s="22" t="str">
        <x:v>1012921</x:v>
      </x:c>
      <x:c r="D350" s="4" t="str">
        <x:v>Database static GT</x:v>
      </x:c>
      <x:c r="E350" s="4" t="n">
        <x:v>3418</x:v>
      </x:c>
      <x:c r="F350" s="4" t="str">
        <x:v>GT</x:v>
      </x:c>
      <x:c r="G350" s="4" t="str">
        <x:v>Database static specification</x:v>
      </x:c>
      <x:c r="H350" s="4" t="str">
        <x:v>Not a current International Tonnage Certificate.</x:v>
      </x:c>
      <x:c r="I350" s="4" t="str">
        <x:v>V718</x:v>
      </x:c>
      <x:c r="J350" s="4" t="str">
        <x:v>https://www.vesselfinder.com/vessels/details/1012921</x:v>
      </x:c>
      <x:c r="K350" s="28" t="n">
        <x:v>46290</x:v>
      </x:c>
    </x:row>
    <x:row r="351" ht="69" customHeight="1">
      <x:c r="A351" s="20" t="str">
        <x:v>Y718</x:v>
      </x:c>
      <x:c r="B351" s="20" t="str">
        <x:v>Bravo Eugenia</x:v>
      </x:c>
      <x:c r="C351" s="22" t="str">
        <x:v>1012921</x:v>
      </x:c>
      <x:c r="D351" s="4" t="str">
        <x:v>Naval architecture / engineering</x:v>
      </x:c>
      <x:c r="E351" s="4" t="str">
        <x:v>Lateral; Oceanco</x:v>
      </x:c>
      <x:c r="F351" s="4" t="str"/>
      <x:c r="G351" s="4" t="str">
        <x:v>Naval-architect project credit</x:v>
      </x:c>
      <x:c r="H351" s="4" t="str"/>
      <x:c r="I351" s="4" t="str">
        <x:v>LAT718</x:v>
      </x:c>
      <x:c r="J351" s="4" t="str">
        <x:v>https://www.lateral.engineering/projects/bravo/</x:v>
      </x:c>
      <x:c r="K351" s="28" t="n">
        <x:v>46290</x:v>
      </x:c>
    </x:row>
    <x:row r="352" ht="69" customHeight="1">
      <x:c r="A352" s="20" t="str">
        <x:v>Y718</x:v>
      </x:c>
      <x:c r="B352" s="20" t="str">
        <x:v>Bravo Eugenia</x:v>
      </x:c>
      <x:c r="C352" s="22" t="str">
        <x:v>1012921</x:v>
      </x:c>
      <x:c r="D352" s="4" t="str">
        <x:v>Exterior design</x:v>
      </x:c>
      <x:c r="E352" s="4" t="str">
        <x:v>Nuvolari Lenard</x:v>
      </x:c>
      <x:c r="F352" s="4" t="str"/>
      <x:c r="G352" s="4" t="str">
        <x:v>Builder design credit; original build unless expressly noted</x:v>
      </x:c>
      <x:c r="H352" s="4" t="str"/>
      <x:c r="I352" s="4" t="str">
        <x:v>B718</x:v>
      </x:c>
      <x:c r="J352" s="4" t="str">
        <x:v>https://www.oceancoyacht.com/fleet/bravo-eugenia/</x:v>
      </x:c>
      <x:c r="K352" s="28" t="n">
        <x:v>46290</x:v>
      </x:c>
    </x:row>
    <x:row r="353" ht="69" customHeight="1">
      <x:c r="A353" s="20" t="str">
        <x:v>Y718</x:v>
      </x:c>
      <x:c r="B353" s="20" t="str">
        <x:v>Bravo Eugenia</x:v>
      </x:c>
      <x:c r="C353" s="22" t="str">
        <x:v>1012921</x:v>
      </x:c>
      <x:c r="D353" s="4" t="str">
        <x:v>Interior design</x:v>
      </x:c>
      <x:c r="E353" s="4" t="str">
        <x:v>Reymond Langton</x:v>
      </x:c>
      <x:c r="F353" s="4" t="str"/>
      <x:c r="G353" s="4" t="str">
        <x:v>Builder design credit; may not describe later refit</x:v>
      </x:c>
      <x:c r="H353" s="4" t="str"/>
      <x:c r="I353" s="4" t="str">
        <x:v>B718</x:v>
      </x:c>
      <x:c r="J353" s="4" t="str">
        <x:v>https://www.oceancoyacht.com/fleet/bravo-eugenia/</x:v>
      </x:c>
      <x:c r="K353" s="28" t="n">
        <x:v>46290</x:v>
      </x:c>
    </x:row>
    <x:row r="354" ht="69" customHeight="1">
      <x:c r="A354" s="20" t="str">
        <x:v>Y718</x:v>
      </x:c>
      <x:c r="B354" s="20" t="str">
        <x:v>Bravo Eugenia</x:v>
      </x:c>
      <x:c r="C354" s="22" t="str">
        <x:v>1012921</x:v>
      </x:c>
      <x:c r="D354" s="4" t="str">
        <x:v>Main machinery (published wording)</x:v>
      </x:c>
      <x:c r="E354" s="4" t="str">
        <x:v>2 x 1,440 kW MTU</x:v>
      </x:c>
      <x:c r="F354" s="4" t="str"/>
      <x:c r="G354" s="4" t="str">
        <x:v>Naval-architect project publication</x:v>
      </x:c>
      <x:c r="H354" s="4" t="str"/>
      <x:c r="I354" s="4" t="str">
        <x:v>LAT718</x:v>
      </x:c>
      <x:c r="J354" s="4" t="str">
        <x:v>https://www.lateral.engineering/projects/bravo/</x:v>
      </x:c>
      <x:c r="K354" s="28" t="n">
        <x:v>46290</x:v>
      </x:c>
    </x:row>
    <x:row r="355" ht="69" customHeight="1">
      <x:c r="A355" s="20" t="str">
        <x:v>Y718</x:v>
      </x:c>
      <x:c r="B355" s="20" t="str">
        <x:v>Bravo Eugenia</x:v>
      </x:c>
      <x:c r="C355" s="22" t="str">
        <x:v>1012921</x:v>
      </x:c>
      <x:c r="D355" s="4" t="str">
        <x:v>Propulsion / energy systems</x:v>
      </x:c>
      <x:c r="E355" s="4" t="str">
        <x:v>Hybrid LIFE platform; batteries and waste-heat recovery</x:v>
      </x:c>
      <x:c r="F355" s="4" t="str"/>
      <x:c r="G355" s="4" t="str">
        <x:v>Published specification; not certificate-verified</x:v>
      </x:c>
      <x:c r="H355" s="4" t="str"/>
      <x:c r="I355" s="4" t="str">
        <x:v>B718</x:v>
      </x:c>
      <x:c r="J355" s="4" t="str">
        <x:v>https://www.oceancoyacht.com/fleet/bravo-eugenia/</x:v>
      </x:c>
      <x:c r="K355" s="28" t="n">
        <x:v>46290</x:v>
      </x:c>
    </x:row>
    <x:row r="356" ht="69" customHeight="1">
      <x:c r="A356" s="20" t="str">
        <x:v>Y719</x:v>
      </x:c>
      <x:c r="B356" s="20" t="str">
        <x:v>Infinity</x:v>
      </x:c>
      <x:c r="C356" s="22" t="str">
        <x:v>9817896</x:v>
      </x:c>
      <x:c r="D356" s="4" t="str">
        <x:v>Yard code</x:v>
      </x:c>
      <x:c r="E356" s="4" t="str">
        <x:v>Y719</x:v>
      </x:c>
      <x:c r="F356" s="4" t="str"/>
      <x:c r="G356" s="4" t="str">
        <x:v>Public build-to-vessel cross-reference</x:v>
      </x:c>
      <x:c r="H356" s="4" t="str">
        <x:v>No builder certificate inspected.</x:v>
      </x:c>
      <x:c r="I356" s="4" t="str">
        <x:v>PRO</x:v>
      </x:c>
      <x:c r="J356" s="4" t="str">
        <x:v>https://www.proyacht.nl/custom-yacht-refit-portfolio/</x:v>
      </x:c>
      <x:c r="K356" s="28" t="n">
        <x:v>46290</x:v>
      </x:c>
    </x:row>
    <x:row r="357" ht="69" customHeight="1">
      <x:c r="A357" s="20" t="str">
        <x:v>Y719</x:v>
      </x:c>
      <x:c r="B357" s="20" t="str">
        <x:v>Infinity</x:v>
      </x:c>
      <x:c r="C357" s="22" t="str">
        <x:v>9817896</x:v>
      </x:c>
      <x:c r="D357" s="4" t="str">
        <x:v>Current published name</x:v>
      </x:c>
      <x:c r="E357" s="4" t="str">
        <x:v>Infinity</x:v>
      </x:c>
      <x:c r="F357" s="4" t="str"/>
      <x:c r="G357" s="4" t="str">
        <x:v>Builder fleet publication</x:v>
      </x:c>
      <x:c r="H357" s="4" t="str">
        <x:v>Name may change after retrieval.</x:v>
      </x:c>
      <x:c r="I357" s="4" t="str">
        <x:v>B719</x:v>
      </x:c>
      <x:c r="J357" s="4" t="str">
        <x:v>https://www.oceancoyacht.com/fleet/infinity/</x:v>
      </x:c>
      <x:c r="K357" s="28" t="n">
        <x:v>46290</x:v>
      </x:c>
    </x:row>
    <x:row r="358" ht="69" customHeight="1">
      <x:c r="A358" s="20" t="str">
        <x:v>Y719</x:v>
      </x:c>
      <x:c r="B358" s="20" t="str">
        <x:v>Infinity</x:v>
      </x:c>
      <x:c r="C358" s="22" t="str">
        <x:v>9817896</x:v>
      </x:c>
      <x:c r="D358" s="4" t="str">
        <x:v>Delivered</x:v>
      </x:c>
      <x:c r="E358" s="4" t="n">
        <x:v>2022</x:v>
      </x:c>
      <x:c r="F358" s="4" t="str">
        <x:v>year</x:v>
      </x:c>
      <x:c r="G358" s="4" t="str">
        <x:v>Builder delivery year</x:v>
      </x:c>
      <x:c r="H358" s="4" t="str">
        <x:v>Do not equate with keel-laying or launch year.</x:v>
      </x:c>
      <x:c r="I358" s="4" t="str">
        <x:v>B719</x:v>
      </x:c>
      <x:c r="J358" s="4" t="str">
        <x:v>https://www.oceancoyacht.com/fleet/infinity/</x:v>
      </x:c>
      <x:c r="K358" s="28" t="n">
        <x:v>46290</x:v>
      </x:c>
    </x:row>
    <x:row r="359" ht="69" customHeight="1">
      <x:c r="A359" s="20" t="str">
        <x:v>Y719</x:v>
      </x:c>
      <x:c r="B359" s="20" t="str">
        <x:v>Infinity</x:v>
      </x:c>
      <x:c r="C359" s="22" t="str">
        <x:v>9817896</x:v>
      </x:c>
      <x:c r="D359" s="4" t="str">
        <x:v>IMO</x:v>
      </x:c>
      <x:c r="E359" s="4" t="str">
        <x:v>9817896</x:v>
      </x:c>
      <x:c r="F359" s="4" t="str"/>
      <x:c r="G359" s="4" t="str">
        <x:v>Database static vessel particulars</x:v>
      </x:c>
      <x:c r="H359" s="4" t="str">
        <x:v>Checksum passed; checksum does not independently confirm identity.</x:v>
      </x:c>
      <x:c r="I359" s="4" t="str">
        <x:v>V719</x:v>
      </x:c>
      <x:c r="J359" s="4" t="str">
        <x:v>https://www.vesselfinder.com/vessels/details/9817896</x:v>
      </x:c>
      <x:c r="K359" s="28" t="n">
        <x:v>46290</x:v>
      </x:c>
    </x:row>
    <x:row r="360" ht="69" customHeight="1">
      <x:c r="A360" s="20" t="str">
        <x:v>Y719</x:v>
      </x:c>
      <x:c r="B360" s="20" t="str">
        <x:v>Infinity</x:v>
      </x:c>
      <x:c r="C360" s="22" t="str">
        <x:v>9817896</x:v>
      </x:c>
      <x:c r="D360" s="4" t="str">
        <x:v>MMSI</x:v>
      </x:c>
      <x:c r="E360" s="4" t="str">
        <x:v>319208000</x:v>
      </x:c>
      <x:c r="F360" s="4" t="str"/>
      <x:c r="G360" s="4" t="str">
        <x:v>Published radio identity</x:v>
      </x:c>
      <x:c r="H360" s="4" t="str">
        <x:v>Published database identity; current registry/radio licence not inspected.</x:v>
      </x:c>
      <x:c r="I360" s="4" t="str">
        <x:v>V719</x:v>
      </x:c>
      <x:c r="J360" s="4" t="str">
        <x:v>https://www.vesselfinder.com/vessels/details/9817896</x:v>
      </x:c>
      <x:c r="K360" s="28" t="n">
        <x:v>46290</x:v>
      </x:c>
    </x:row>
    <x:row r="361" ht="69" customHeight="1">
      <x:c r="A361" s="20" t="str">
        <x:v>Y719</x:v>
      </x:c>
      <x:c r="B361" s="20" t="str">
        <x:v>Infinity</x:v>
      </x:c>
      <x:c r="C361" s="22" t="str">
        <x:v>9817896</x:v>
      </x:c>
      <x:c r="D361" s="4" t="str">
        <x:v>Call sign</x:v>
      </x:c>
      <x:c r="E361" s="4" t="str">
        <x:v>ZGKZ3</x:v>
      </x:c>
      <x:c r="F361" s="4" t="str"/>
      <x:c r="G361" s="4" t="str">
        <x:v>Published radio identity</x:v>
      </x:c>
      <x:c r="H361" s="4" t="str">
        <x:v>Published database identity; current registry/radio licence not inspected.</x:v>
      </x:c>
      <x:c r="I361" s="4" t="str">
        <x:v>V719</x:v>
      </x:c>
      <x:c r="J361" s="4" t="str">
        <x:v>https://www.vesselfinder.com/vessels/details/9817896</x:v>
      </x:c>
      <x:c r="K361" s="28" t="n">
        <x:v>46290</x:v>
      </x:c>
    </x:row>
    <x:row r="362" ht="69" customHeight="1">
      <x:c r="A362" s="20" t="str">
        <x:v>Y719</x:v>
      </x:c>
      <x:c r="B362" s="20" t="str">
        <x:v>Infinity</x:v>
      </x:c>
      <x:c r="C362" s="22" t="str">
        <x:v>9817896</x:v>
      </x:c>
      <x:c r="D362" s="4" t="str">
        <x:v>Flag</x:v>
      </x:c>
      <x:c r="E362" s="4" t="str">
        <x:v>Cayman Islands</x:v>
      </x:c>
      <x:c r="F362" s="4" t="str"/>
      <x:c r="G362" s="4" t="str">
        <x:v>Published flag / AIS identity</x:v>
      </x:c>
      <x:c r="H362" s="4" t="str">
        <x:v>Published database identity; current registry/radio licence not inspected.</x:v>
      </x:c>
      <x:c r="I362" s="4" t="str">
        <x:v>V719</x:v>
      </x:c>
      <x:c r="J362" s="4" t="str">
        <x:v>https://www.vesselfinder.com/vessels/details/9817896</x:v>
      </x:c>
      <x:c r="K362" s="28" t="n">
        <x:v>46290</x:v>
      </x:c>
    </x:row>
    <x:row r="363" ht="69" customHeight="1">
      <x:c r="A363" s="20" t="str">
        <x:v>Y719</x:v>
      </x:c>
      <x:c r="B363" s="20" t="str">
        <x:v>Infinity</x:v>
      </x:c>
      <x:c r="C363" s="22" t="str">
        <x:v>9817896</x:v>
      </x:c>
      <x:c r="D363" s="4" t="str">
        <x:v>Preferred published LOA</x:v>
      </x:c>
      <x:c r="E363" s="4" t="n">
        <x:v>117</x:v>
      </x:c>
      <x:c r="F363" s="4" t="str">
        <x:v>m</x:v>
      </x:c>
      <x:c r="G363" s="4" t="str">
        <x:v>Builder published overall length</x:v>
      </x:c>
      <x:c r="H363" s="4" t="str">
        <x:v>Not independently measured or certificate-verified.</x:v>
      </x:c>
      <x:c r="I363" s="4" t="str">
        <x:v>B719</x:v>
      </x:c>
      <x:c r="J363" s="4" t="str">
        <x:v>https://www.oceancoyacht.com/fleet/infinity/</x:v>
      </x:c>
      <x:c r="K363" s="28" t="n">
        <x:v>46290</x:v>
      </x:c>
    </x:row>
    <x:row r="364" ht="69" customHeight="1">
      <x:c r="A364" s="20" t="str">
        <x:v>Y719</x:v>
      </x:c>
      <x:c r="B364" s="20" t="str">
        <x:v>Infinity</x:v>
      </x:c>
      <x:c r="C364" s="22" t="str">
        <x:v>9817896</x:v>
      </x:c>
      <x:c r="D364" s="4" t="str">
        <x:v>Preferred published beam</x:v>
      </x:c>
      <x:c r="E364" s="4" t="n">
        <x:v>16.5</x:v>
      </x:c>
      <x:c r="F364" s="4" t="str">
        <x:v>m</x:v>
      </x:c>
      <x:c r="G364" s="4" t="str">
        <x:v>Builder published overall beam</x:v>
      </x:c>
      <x:c r="H364" s="4" t="str">
        <x:v>Not moulded breadth unless source explicitly says so.</x:v>
      </x:c>
      <x:c r="I364" s="4" t="str">
        <x:v>B719</x:v>
      </x:c>
      <x:c r="J364" s="4" t="str">
        <x:v>https://www.oceancoyacht.com/fleet/infinity/</x:v>
      </x:c>
      <x:c r="K364" s="28" t="n">
        <x:v>46290</x:v>
      </x:c>
    </x:row>
    <x:row r="365" ht="69" customHeight="1">
      <x:c r="A365" s="20" t="str">
        <x:v>Y719</x:v>
      </x:c>
      <x:c r="B365" s="20" t="str">
        <x:v>Infinity</x:v>
      </x:c>
      <x:c r="C365" s="22" t="str">
        <x:v>9817896</x:v>
      </x:c>
      <x:c r="D365" s="4" t="str">
        <x:v>Working gross tonnage</x:v>
      </x:c>
      <x:c r="E365" s="4" t="n">
        <x:v>4978</x:v>
      </x:c>
      <x:c r="F365" s="4" t="str">
        <x:v>GT</x:v>
      </x:c>
      <x:c r="G365" s="4" t="str">
        <x:v>Database static GT</x:v>
      </x:c>
      <x:c r="H365" s="4" t="str">
        <x:v>GT is not mass/displacement.</x:v>
      </x:c>
      <x:c r="I365" s="4" t="str">
        <x:v>V719</x:v>
      </x:c>
      <x:c r="J365" s="4" t="str">
        <x:v>https://www.vesselfinder.com/vessels/details/9817896</x:v>
      </x:c>
      <x:c r="K365" s="28" t="n">
        <x:v>46290</x:v>
      </x:c>
    </x:row>
    <x:row r="366" ht="69" customHeight="1">
      <x:c r="A366" s="20" t="str">
        <x:v>Y719</x:v>
      </x:c>
      <x:c r="B366" s="20" t="str">
        <x:v>Infinity</x:v>
      </x:c>
      <x:c r="C366" s="22" t="str">
        <x:v>9817896</x:v>
      </x:c>
      <x:c r="D366" s="4" t="str">
        <x:v>Database static LOA</x:v>
      </x:c>
      <x:c r="E366" s="4" t="n">
        <x:v>117</x:v>
      </x:c>
      <x:c r="F366" s="4" t="str">
        <x:v>m</x:v>
      </x:c>
      <x:c r="G366" s="4" t="str">
        <x:v>Database static specification, not AIS dimensions</x:v>
      </x:c>
      <x:c r="H366" s="4" t="str">
        <x:v>Builder beam 16.5m vs database 17m. Distinct from original 89m Infinity (now Samsara).</x:v>
      </x:c>
      <x:c r="I366" s="4" t="str">
        <x:v>V719</x:v>
      </x:c>
      <x:c r="J366" s="4" t="str">
        <x:v>https://www.vesselfinder.com/vessels/details/9817896</x:v>
      </x:c>
      <x:c r="K366" s="28" t="n">
        <x:v>46290</x:v>
      </x:c>
    </x:row>
    <x:row r="367" ht="69" customHeight="1">
      <x:c r="A367" s="20" t="str">
        <x:v>Y719</x:v>
      </x:c>
      <x:c r="B367" s="20" t="str">
        <x:v>Infinity</x:v>
      </x:c>
      <x:c r="C367" s="22" t="str">
        <x:v>9817896</x:v>
      </x:c>
      <x:c r="D367" s="4" t="str">
        <x:v>Database static beam</x:v>
      </x:c>
      <x:c r="E367" s="4" t="n">
        <x:v>17</x:v>
      </x:c>
      <x:c r="F367" s="4" t="str">
        <x:v>m</x:v>
      </x:c>
      <x:c r="G367" s="4" t="str">
        <x:v>Database static specification, not AIS dimensions</x:v>
      </x:c>
      <x:c r="H367" s="4" t="str">
        <x:v>Builder beam 16.5m vs database 17m. Distinct from original 89m Infinity (now Samsara).</x:v>
      </x:c>
      <x:c r="I367" s="4" t="str">
        <x:v>V719</x:v>
      </x:c>
      <x:c r="J367" s="4" t="str">
        <x:v>https://www.vesselfinder.com/vessels/details/9817896</x:v>
      </x:c>
      <x:c r="K367" s="28" t="n">
        <x:v>46290</x:v>
      </x:c>
    </x:row>
    <x:row r="368" ht="69" customHeight="1">
      <x:c r="A368" s="20" t="str">
        <x:v>Y719</x:v>
      </x:c>
      <x:c r="B368" s="20" t="str">
        <x:v>Infinity</x:v>
      </x:c>
      <x:c r="C368" s="22" t="str">
        <x:v>9817896</x:v>
      </x:c>
      <x:c r="D368" s="4" t="str">
        <x:v>Database static GT</x:v>
      </x:c>
      <x:c r="E368" s="4" t="n">
        <x:v>4978</x:v>
      </x:c>
      <x:c r="F368" s="4" t="str">
        <x:v>GT</x:v>
      </x:c>
      <x:c r="G368" s="4" t="str">
        <x:v>Database static specification</x:v>
      </x:c>
      <x:c r="H368" s="4" t="str">
        <x:v>Not a current International Tonnage Certificate.</x:v>
      </x:c>
      <x:c r="I368" s="4" t="str">
        <x:v>V719</x:v>
      </x:c>
      <x:c r="J368" s="4" t="str">
        <x:v>https://www.vesselfinder.com/vessels/details/9817896</x:v>
      </x:c>
      <x:c r="K368" s="28" t="n">
        <x:v>46290</x:v>
      </x:c>
    </x:row>
    <x:row r="369" ht="69" customHeight="1">
      <x:c r="A369" s="20" t="str">
        <x:v>Y719</x:v>
      </x:c>
      <x:c r="B369" s="20" t="str">
        <x:v>Infinity</x:v>
      </x:c>
      <x:c r="C369" s="22" t="str">
        <x:v>9817896</x:v>
      </x:c>
      <x:c r="D369" s="4" t="str">
        <x:v>Database build year</x:v>
      </x:c>
      <x:c r="E369" s="4" t="n">
        <x:v>2022</x:v>
      </x:c>
      <x:c r="F369" s="4" t="str">
        <x:v>year</x:v>
      </x:c>
      <x:c r="G369" s="4" t="str">
        <x:v>Explicitly captured database build year</x:v>
      </x:c>
      <x:c r="H369" s="4" t="str">
        <x:v>May differ from delivery.</x:v>
      </x:c>
      <x:c r="I369" s="4" t="str">
        <x:v>V719</x:v>
      </x:c>
      <x:c r="J369" s="4" t="str">
        <x:v>https://www.vesselfinder.com/vessels/details/9817896</x:v>
      </x:c>
      <x:c r="K369" s="28" t="n">
        <x:v>46290</x:v>
      </x:c>
    </x:row>
    <x:row r="370" ht="69" customHeight="1">
      <x:c r="A370" s="20" t="str">
        <x:v>Y719</x:v>
      </x:c>
      <x:c r="B370" s="20" t="str">
        <x:v>Infinity</x:v>
      </x:c>
      <x:c r="C370" s="22" t="str">
        <x:v>9817896</x:v>
      </x:c>
      <x:c r="D370" s="4" t="str">
        <x:v>Naval architecture / engineering</x:v>
      </x:c>
      <x:c r="E370" s="4" t="str">
        <x:v>Lateral; Oceanco</x:v>
      </x:c>
      <x:c r="F370" s="4" t="str"/>
      <x:c r="G370" s="4" t="str">
        <x:v>Naval-architect project credit</x:v>
      </x:c>
      <x:c r="H370" s="4" t="str"/>
      <x:c r="I370" s="4" t="str">
        <x:v>LAT719</x:v>
      </x:c>
      <x:c r="J370" s="4" t="str">
        <x:v>https://www.lateral.engineering/projects/Inifinity-117m/</x:v>
      </x:c>
      <x:c r="K370" s="28" t="n">
        <x:v>46290</x:v>
      </x:c>
    </x:row>
    <x:row r="371" ht="69" customHeight="1">
      <x:c r="A371" s="20" t="str">
        <x:v>Y719</x:v>
      </x:c>
      <x:c r="B371" s="20" t="str">
        <x:v>Infinity</x:v>
      </x:c>
      <x:c r="C371" s="22" t="str">
        <x:v>9817896</x:v>
      </x:c>
      <x:c r="D371" s="4" t="str">
        <x:v>Exterior design</x:v>
      </x:c>
      <x:c r="E371" s="4" t="str">
        <x:v>Espen Øino</x:v>
      </x:c>
      <x:c r="F371" s="4" t="str"/>
      <x:c r="G371" s="4" t="str">
        <x:v>Builder design credit; original build unless expressly noted</x:v>
      </x:c>
      <x:c r="H371" s="4" t="str"/>
      <x:c r="I371" s="4" t="str">
        <x:v>B719</x:v>
      </x:c>
      <x:c r="J371" s="4" t="str">
        <x:v>https://www.oceancoyacht.com/fleet/infinity/</x:v>
      </x:c>
      <x:c r="K371" s="28" t="n">
        <x:v>46290</x:v>
      </x:c>
    </x:row>
    <x:row r="372" ht="69" customHeight="1">
      <x:c r="A372" s="20" t="str">
        <x:v>Y719</x:v>
      </x:c>
      <x:c r="B372" s="20" t="str">
        <x:v>Infinity</x:v>
      </x:c>
      <x:c r="C372" s="22" t="str">
        <x:v>9817896</x:v>
      </x:c>
      <x:c r="D372" s="4" t="str">
        <x:v>Interior design</x:v>
      </x:c>
      <x:c r="E372" s="4" t="str">
        <x:v>Sinot; David Kleinberg</x:v>
      </x:c>
      <x:c r="F372" s="4" t="str"/>
      <x:c r="G372" s="4" t="str">
        <x:v>Builder design credit; may not describe later refit</x:v>
      </x:c>
      <x:c r="H372" s="4" t="str"/>
      <x:c r="I372" s="4" t="str">
        <x:v>B719</x:v>
      </x:c>
      <x:c r="J372" s="4" t="str">
        <x:v>https://www.oceancoyacht.com/fleet/infinity/</x:v>
      </x:c>
      <x:c r="K372" s="28" t="n">
        <x:v>46290</x:v>
      </x:c>
    </x:row>
    <x:row r="373" ht="69" customHeight="1">
      <x:c r="A373" s="20" t="str">
        <x:v>Y719</x:v>
      </x:c>
      <x:c r="B373" s="20" t="str">
        <x:v>Infinity</x:v>
      </x:c>
      <x:c r="C373" s="22" t="str">
        <x:v>9817896</x:v>
      </x:c>
      <x:c r="D373" s="4" t="str">
        <x:v>Published guests</x:v>
      </x:c>
      <x:c r="E373" s="4" t="n">
        <x:v>16</x:v>
      </x:c>
      <x:c r="F373" s="4" t="str">
        <x:v>persons</x:v>
      </x:c>
      <x:c r="G373" s="4" t="str">
        <x:v>Builder published accommodation</x:v>
      </x:c>
      <x:c r="H373" s="4" t="str"/>
      <x:c r="I373" s="4" t="str">
        <x:v>B719</x:v>
      </x:c>
      <x:c r="J373" s="4" t="str">
        <x:v>https://www.oceancoyacht.com/fleet/infinity/</x:v>
      </x:c>
      <x:c r="K373" s="28" t="n">
        <x:v>46290</x:v>
      </x:c>
    </x:row>
    <x:row r="374" ht="69" customHeight="1">
      <x:c r="A374" s="20" t="str">
        <x:v>Y720</x:v>
      </x:c>
      <x:c r="B374" s="20" t="str">
        <x:v>Seven Seas</x:v>
      </x:c>
      <x:c r="C374" s="22" t="str">
        <x:v>9840178</x:v>
      </x:c>
      <x:c r="D374" s="4" t="str">
        <x:v>Yard code</x:v>
      </x:c>
      <x:c r="E374" s="4" t="str">
        <x:v>Y720</x:v>
      </x:c>
      <x:c r="F374" s="4" t="str"/>
      <x:c r="G374" s="4" t="str">
        <x:v>Public build-to-vessel cross-reference</x:v>
      </x:c>
      <x:c r="H374" s="4" t="str">
        <x:v>No builder certificate inspected.</x:v>
      </x:c>
      <x:c r="I374" s="4" t="str">
        <x:v>Y720</x:v>
      </x:c>
      <x:c r="J374" s="4" t="str">
        <x:v>https://www.facebook.com/dutchyachting/posts/the-109m-3576-seven-seas-y720-launched-on-11-march-2022-returned-to-oceancos-dry/553672826787162/</x:v>
      </x:c>
      <x:c r="K374" s="28" t="n">
        <x:v>46290</x:v>
      </x:c>
    </x:row>
    <x:row r="375" ht="69" customHeight="1">
      <x:c r="A375" s="20" t="str">
        <x:v>Y720</x:v>
      </x:c>
      <x:c r="B375" s="20" t="str">
        <x:v>Seven Seas</x:v>
      </x:c>
      <x:c r="C375" s="22" t="str">
        <x:v>9840178</x:v>
      </x:c>
      <x:c r="D375" s="4" t="str">
        <x:v>Current published name</x:v>
      </x:c>
      <x:c r="E375" s="4" t="str">
        <x:v>Seven Seas</x:v>
      </x:c>
      <x:c r="F375" s="4" t="str"/>
      <x:c r="G375" s="4" t="str">
        <x:v>Builder fleet publication</x:v>
      </x:c>
      <x:c r="H375" s="4" t="str">
        <x:v>Name may change after retrieval.</x:v>
      </x:c>
      <x:c r="I375" s="4" t="str">
        <x:v>B720</x:v>
      </x:c>
      <x:c r="J375" s="4" t="str">
        <x:v>https://www.oceancoyacht.com/fleet/seven-seas/</x:v>
      </x:c>
      <x:c r="K375" s="28" t="n">
        <x:v>46290</x:v>
      </x:c>
    </x:row>
    <x:row r="376" ht="69" customHeight="1">
      <x:c r="A376" s="20" t="str">
        <x:v>Y720</x:v>
      </x:c>
      <x:c r="B376" s="20" t="str">
        <x:v>Seven Seas</x:v>
      </x:c>
      <x:c r="C376" s="22" t="str">
        <x:v>9840178</x:v>
      </x:c>
      <x:c r="D376" s="4" t="str">
        <x:v>Delivered</x:v>
      </x:c>
      <x:c r="E376" s="4" t="n">
        <x:v>2023</x:v>
      </x:c>
      <x:c r="F376" s="4" t="str">
        <x:v>year</x:v>
      </x:c>
      <x:c r="G376" s="4" t="str">
        <x:v>Builder delivery year</x:v>
      </x:c>
      <x:c r="H376" s="4" t="str">
        <x:v>Do not equate with keel-laying or launch year.</x:v>
      </x:c>
      <x:c r="I376" s="4" t="str">
        <x:v>B720</x:v>
      </x:c>
      <x:c r="J376" s="4" t="str">
        <x:v>https://www.oceancoyacht.com/fleet/seven-seas/</x:v>
      </x:c>
      <x:c r="K376" s="28" t="n">
        <x:v>46290</x:v>
      </x:c>
    </x:row>
    <x:row r="377" ht="69" customHeight="1">
      <x:c r="A377" s="20" t="str">
        <x:v>Y720</x:v>
      </x:c>
      <x:c r="B377" s="20" t="str">
        <x:v>Seven Seas</x:v>
      </x:c>
      <x:c r="C377" s="22" t="str">
        <x:v>9840178</x:v>
      </x:c>
      <x:c r="D377" s="4" t="str">
        <x:v>IMO</x:v>
      </x:c>
      <x:c r="E377" s="4" t="str">
        <x:v>9840178</x:v>
      </x:c>
      <x:c r="F377" s="4" t="str"/>
      <x:c r="G377" s="4" t="str">
        <x:v>Database static vessel particulars</x:v>
      </x:c>
      <x:c r="H377" s="4" t="str">
        <x:v>Checksum passed; checksum does not independently confirm identity.</x:v>
      </x:c>
      <x:c r="I377" s="4" t="str">
        <x:v>V720</x:v>
      </x:c>
      <x:c r="J377" s="4" t="str">
        <x:v>https://www.vesselfinder.com/vessels/details/9840178</x:v>
      </x:c>
      <x:c r="K377" s="28" t="n">
        <x:v>46290</x:v>
      </x:c>
    </x:row>
    <x:row r="378" ht="69" customHeight="1">
      <x:c r="A378" s="20" t="str">
        <x:v>Y720</x:v>
      </x:c>
      <x:c r="B378" s="20" t="str">
        <x:v>Seven Seas</x:v>
      </x:c>
      <x:c r="C378" s="22" t="str">
        <x:v>9840178</x:v>
      </x:c>
      <x:c r="D378" s="4" t="str">
        <x:v>MMSI</x:v>
      </x:c>
      <x:c r="E378" s="4" t="str">
        <x:v>319225300</x:v>
      </x:c>
      <x:c r="F378" s="4" t="str"/>
      <x:c r="G378" s="4" t="str">
        <x:v>Published radio identity</x:v>
      </x:c>
      <x:c r="H378" s="4" t="str">
        <x:v>Published database identity; current registry/radio licence not inspected.</x:v>
      </x:c>
      <x:c r="I378" s="4" t="str">
        <x:v>V720</x:v>
      </x:c>
      <x:c r="J378" s="4" t="str">
        <x:v>https://www.vesselfinder.com/vessels/details/9840178</x:v>
      </x:c>
      <x:c r="K378" s="28" t="n">
        <x:v>46290</x:v>
      </x:c>
    </x:row>
    <x:row r="379" ht="69" customHeight="1">
      <x:c r="A379" s="20" t="str">
        <x:v>Y720</x:v>
      </x:c>
      <x:c r="B379" s="20" t="str">
        <x:v>Seven Seas</x:v>
      </x:c>
      <x:c r="C379" s="22" t="str">
        <x:v>9840178</x:v>
      </x:c>
      <x:c r="D379" s="4" t="str">
        <x:v>Call sign</x:v>
      </x:c>
      <x:c r="E379" s="4" t="str">
        <x:v>ZGQC2</x:v>
      </x:c>
      <x:c r="F379" s="4" t="str"/>
      <x:c r="G379" s="4" t="str">
        <x:v>Published radio identity</x:v>
      </x:c>
      <x:c r="H379" s="4" t="str">
        <x:v>Published database identity; current registry/radio licence not inspected.</x:v>
      </x:c>
      <x:c r="I379" s="4" t="str">
        <x:v>V720</x:v>
      </x:c>
      <x:c r="J379" s="4" t="str">
        <x:v>https://www.vesselfinder.com/vessels/details/9840178</x:v>
      </x:c>
      <x:c r="K379" s="28" t="n">
        <x:v>46290</x:v>
      </x:c>
    </x:row>
    <x:row r="380" ht="69" customHeight="1">
      <x:c r="A380" s="20" t="str">
        <x:v>Y720</x:v>
      </x:c>
      <x:c r="B380" s="20" t="str">
        <x:v>Seven Seas</x:v>
      </x:c>
      <x:c r="C380" s="22" t="str">
        <x:v>9840178</x:v>
      </x:c>
      <x:c r="D380" s="4" t="str">
        <x:v>Flag</x:v>
      </x:c>
      <x:c r="E380" s="4" t="str">
        <x:v>Cayman Islands</x:v>
      </x:c>
      <x:c r="F380" s="4" t="str"/>
      <x:c r="G380" s="4" t="str">
        <x:v>Published flag / AIS identity</x:v>
      </x:c>
      <x:c r="H380" s="4" t="str">
        <x:v>Published database identity; current registry/radio licence not inspected.</x:v>
      </x:c>
      <x:c r="I380" s="4" t="str">
        <x:v>V720</x:v>
      </x:c>
      <x:c r="J380" s="4" t="str">
        <x:v>https://www.vesselfinder.com/vessels/details/9840178</x:v>
      </x:c>
      <x:c r="K380" s="28" t="n">
        <x:v>46290</x:v>
      </x:c>
    </x:row>
    <x:row r="381" ht="69" customHeight="1">
      <x:c r="A381" s="20" t="str">
        <x:v>Y720</x:v>
      </x:c>
      <x:c r="B381" s="20" t="str">
        <x:v>Seven Seas</x:v>
      </x:c>
      <x:c r="C381" s="22" t="str">
        <x:v>9840178</x:v>
      </x:c>
      <x:c r="D381" s="4" t="str">
        <x:v>Preferred published LOA</x:v>
      </x:c>
      <x:c r="E381" s="4" t="n">
        <x:v>109</x:v>
      </x:c>
      <x:c r="F381" s="4" t="str">
        <x:v>m</x:v>
      </x:c>
      <x:c r="G381" s="4" t="str">
        <x:v>Builder published overall length</x:v>
      </x:c>
      <x:c r="H381" s="4" t="str">
        <x:v>Not independently measured or certificate-verified.</x:v>
      </x:c>
      <x:c r="I381" s="4" t="str">
        <x:v>B720</x:v>
      </x:c>
      <x:c r="J381" s="4" t="str">
        <x:v>https://www.oceancoyacht.com/fleet/seven-seas/</x:v>
      </x:c>
      <x:c r="K381" s="28" t="n">
        <x:v>46290</x:v>
      </x:c>
    </x:row>
    <x:row r="382" ht="69" customHeight="1">
      <x:c r="A382" s="20" t="str">
        <x:v>Y720</x:v>
      </x:c>
      <x:c r="B382" s="20" t="str">
        <x:v>Seven Seas</x:v>
      </x:c>
      <x:c r="C382" s="22" t="str">
        <x:v>9840178</x:v>
      </x:c>
      <x:c r="D382" s="4" t="str">
        <x:v>Preferred published beam</x:v>
      </x:c>
      <x:c r="E382" s="4" t="n">
        <x:v>16</x:v>
      </x:c>
      <x:c r="F382" s="4" t="str">
        <x:v>m</x:v>
      </x:c>
      <x:c r="G382" s="4" t="str">
        <x:v>Builder published overall beam</x:v>
      </x:c>
      <x:c r="H382" s="4" t="str">
        <x:v>Not moulded breadth unless source explicitly says so.</x:v>
      </x:c>
      <x:c r="I382" s="4" t="str">
        <x:v>B720</x:v>
      </x:c>
      <x:c r="J382" s="4" t="str">
        <x:v>https://www.oceancoyacht.com/fleet/seven-seas/</x:v>
      </x:c>
      <x:c r="K382" s="28" t="n">
        <x:v>46290</x:v>
      </x:c>
    </x:row>
    <x:row r="383" ht="69" customHeight="1">
      <x:c r="A383" s="20" t="str">
        <x:v>Y720</x:v>
      </x:c>
      <x:c r="B383" s="20" t="str">
        <x:v>Seven Seas</x:v>
      </x:c>
      <x:c r="C383" s="22" t="str">
        <x:v>9840178</x:v>
      </x:c>
      <x:c r="D383" s="4" t="str">
        <x:v>Working gross tonnage</x:v>
      </x:c>
      <x:c r="E383" s="4" t="n">
        <x:v>4444</x:v>
      </x:c>
      <x:c r="F383" s="4" t="str">
        <x:v>GT</x:v>
      </x:c>
      <x:c r="G383" s="4" t="str">
        <x:v>Database static GT</x:v>
      </x:c>
      <x:c r="H383" s="4" t="str">
        <x:v>GT is not mass/displacement.</x:v>
      </x:c>
      <x:c r="I383" s="4" t="str">
        <x:v>V720</x:v>
      </x:c>
      <x:c r="J383" s="4" t="str">
        <x:v>https://www.vesselfinder.com/vessels/details/9840178</x:v>
      </x:c>
      <x:c r="K383" s="28" t="n">
        <x:v>46290</x:v>
      </x:c>
    </x:row>
    <x:row r="384" ht="69" customHeight="1">
      <x:c r="A384" s="20" t="str">
        <x:v>Y720</x:v>
      </x:c>
      <x:c r="B384" s="20" t="str">
        <x:v>Seven Seas</x:v>
      </x:c>
      <x:c r="C384" s="22" t="str">
        <x:v>9840178</x:v>
      </x:c>
      <x:c r="D384" s="4" t="str">
        <x:v>Database static LOA</x:v>
      </x:c>
      <x:c r="E384" s="4" t="n">
        <x:v>125</x:v>
      </x:c>
      <x:c r="F384" s="4" t="str">
        <x:v>m</x:v>
      </x:c>
      <x:c r="G384" s="4" t="str">
        <x:v>Database static specification, not AIS dimensions</x:v>
      </x:c>
      <x:c r="H384" s="4" t="str">
        <x:v>Database static 125 x 17m / 2022 is quarantined. Builder 109 x 16m / 2023; database AIS dimensions also 109 x 16m.</x:v>
      </x:c>
      <x:c r="I384" s="4" t="str">
        <x:v>V720</x:v>
      </x:c>
      <x:c r="J384" s="4" t="str">
        <x:v>https://www.vesselfinder.com/vessels/details/9840178</x:v>
      </x:c>
      <x:c r="K384" s="28" t="n">
        <x:v>46290</x:v>
      </x:c>
    </x:row>
    <x:row r="385" ht="69" customHeight="1">
      <x:c r="A385" s="20" t="str">
        <x:v>Y720</x:v>
      </x:c>
      <x:c r="B385" s="20" t="str">
        <x:v>Seven Seas</x:v>
      </x:c>
      <x:c r="C385" s="22" t="str">
        <x:v>9840178</x:v>
      </x:c>
      <x:c r="D385" s="4" t="str">
        <x:v>Database static beam</x:v>
      </x:c>
      <x:c r="E385" s="4" t="n">
        <x:v>17</x:v>
      </x:c>
      <x:c r="F385" s="4" t="str">
        <x:v>m</x:v>
      </x:c>
      <x:c r="G385" s="4" t="str">
        <x:v>Database static specification, not AIS dimensions</x:v>
      </x:c>
      <x:c r="H385" s="4" t="str">
        <x:v>Database static 125 x 17m / 2022 is quarantined. Builder 109 x 16m / 2023; database AIS dimensions also 109 x 16m.</x:v>
      </x:c>
      <x:c r="I385" s="4" t="str">
        <x:v>V720</x:v>
      </x:c>
      <x:c r="J385" s="4" t="str">
        <x:v>https://www.vesselfinder.com/vessels/details/9840178</x:v>
      </x:c>
      <x:c r="K385" s="28" t="n">
        <x:v>46290</x:v>
      </x:c>
    </x:row>
    <x:row r="386" ht="69" customHeight="1">
      <x:c r="A386" s="20" t="str">
        <x:v>Y720</x:v>
      </x:c>
      <x:c r="B386" s="20" t="str">
        <x:v>Seven Seas</x:v>
      </x:c>
      <x:c r="C386" s="22" t="str">
        <x:v>9840178</x:v>
      </x:c>
      <x:c r="D386" s="4" t="str">
        <x:v>Database static GT</x:v>
      </x:c>
      <x:c r="E386" s="4" t="n">
        <x:v>4444</x:v>
      </x:c>
      <x:c r="F386" s="4" t="str">
        <x:v>GT</x:v>
      </x:c>
      <x:c r="G386" s="4" t="str">
        <x:v>Database static specification</x:v>
      </x:c>
      <x:c r="H386" s="4" t="str">
        <x:v>Not a current International Tonnage Certificate.</x:v>
      </x:c>
      <x:c r="I386" s="4" t="str">
        <x:v>V720</x:v>
      </x:c>
      <x:c r="J386" s="4" t="str">
        <x:v>https://www.vesselfinder.com/vessels/details/9840178</x:v>
      </x:c>
      <x:c r="K386" s="28" t="n">
        <x:v>46290</x:v>
      </x:c>
    </x:row>
    <x:row r="387" ht="69" customHeight="1">
      <x:c r="A387" s="20" t="str">
        <x:v>Y720</x:v>
      </x:c>
      <x:c r="B387" s="20" t="str">
        <x:v>Seven Seas</x:v>
      </x:c>
      <x:c r="C387" s="22" t="str">
        <x:v>9840178</x:v>
      </x:c>
      <x:c r="D387" s="4" t="str">
        <x:v>Database build year</x:v>
      </x:c>
      <x:c r="E387" s="4" t="n">
        <x:v>2022</x:v>
      </x:c>
      <x:c r="F387" s="4" t="str">
        <x:v>year</x:v>
      </x:c>
      <x:c r="G387" s="4" t="str">
        <x:v>Explicitly captured database build year</x:v>
      </x:c>
      <x:c r="H387" s="4" t="str">
        <x:v>May differ from delivery.</x:v>
      </x:c>
      <x:c r="I387" s="4" t="str">
        <x:v>V720</x:v>
      </x:c>
      <x:c r="J387" s="4" t="str">
        <x:v>https://www.vesselfinder.com/vessels/details/9840178</x:v>
      </x:c>
      <x:c r="K387" s="28" t="n">
        <x:v>46290</x:v>
      </x:c>
    </x:row>
    <x:row r="388" ht="69" customHeight="1">
      <x:c r="A388" s="20" t="str">
        <x:v>Y720</x:v>
      </x:c>
      <x:c r="B388" s="20" t="str">
        <x:v>Seven Seas</x:v>
      </x:c>
      <x:c r="C388" s="22" t="str">
        <x:v>9840178</x:v>
      </x:c>
      <x:c r="D388" s="4" t="str">
        <x:v>Naval architecture / engineering</x:v>
      </x:c>
      <x:c r="E388" s="4" t="str">
        <x:v>Lateral; Oceanco</x:v>
      </x:c>
      <x:c r="F388" s="4" t="str"/>
      <x:c r="G388" s="4" t="str">
        <x:v>Naval-architect project credit</x:v>
      </x:c>
      <x:c r="H388" s="4" t="str"/>
      <x:c r="I388" s="4" t="str">
        <x:v>LAT720</x:v>
      </x:c>
      <x:c r="J388" s="4" t="str">
        <x:v>https://www.lateral.engineering/projects/Seven-Seas-357ft/</x:v>
      </x:c>
      <x:c r="K388" s="28" t="n">
        <x:v>46290</x:v>
      </x:c>
    </x:row>
    <x:row r="389" ht="69" customHeight="1">
      <x:c r="A389" s="20" t="str">
        <x:v>Y720</x:v>
      </x:c>
      <x:c r="B389" s="20" t="str">
        <x:v>Seven Seas</x:v>
      </x:c>
      <x:c r="C389" s="22" t="str">
        <x:v>9840178</x:v>
      </x:c>
      <x:c r="D389" s="4" t="str">
        <x:v>Exterior design</x:v>
      </x:c>
      <x:c r="E389" s="4" t="str">
        <x:v>Sinot Yacht Architecture &amp; Design</x:v>
      </x:c>
      <x:c r="F389" s="4" t="str"/>
      <x:c r="G389" s="4" t="str">
        <x:v>Builder design credit; original build unless expressly noted</x:v>
      </x:c>
      <x:c r="H389" s="4" t="str"/>
      <x:c r="I389" s="4" t="str">
        <x:v>B720</x:v>
      </x:c>
      <x:c r="J389" s="4" t="str">
        <x:v>https://www.oceancoyacht.com/fleet/seven-seas/</x:v>
      </x:c>
      <x:c r="K389" s="28" t="n">
        <x:v>46290</x:v>
      </x:c>
    </x:row>
    <x:row r="390" ht="69" customHeight="1">
      <x:c r="A390" s="20" t="str">
        <x:v>Y720</x:v>
      </x:c>
      <x:c r="B390" s="20" t="str">
        <x:v>Seven Seas</x:v>
      </x:c>
      <x:c r="C390" s="22" t="str">
        <x:v>9840178</x:v>
      </x:c>
      <x:c r="D390" s="4" t="str">
        <x:v>Interior design</x:v>
      </x:c>
      <x:c r="E390" s="4" t="str">
        <x:v>Sinot; Molly Isaksen (decoration)</x:v>
      </x:c>
      <x:c r="F390" s="4" t="str"/>
      <x:c r="G390" s="4" t="str">
        <x:v>Builder design credit; may not describe later refit</x:v>
      </x:c>
      <x:c r="H390" s="4" t="str"/>
      <x:c r="I390" s="4" t="str">
        <x:v>B720</x:v>
      </x:c>
      <x:c r="J390" s="4" t="str">
        <x:v>https://www.oceancoyacht.com/fleet/seven-seas/</x:v>
      </x:c>
      <x:c r="K390" s="28" t="n">
        <x:v>46290</x:v>
      </x:c>
    </x:row>
    <x:row r="391" ht="69" customHeight="1">
      <x:c r="A391" s="20" t="str">
        <x:v>Y720</x:v>
      </x:c>
      <x:c r="B391" s="20" t="str">
        <x:v>Seven Seas</x:v>
      </x:c>
      <x:c r="C391" s="22" t="str">
        <x:v>9840178</x:v>
      </x:c>
      <x:c r="D391" s="4" t="str">
        <x:v>Maximum motor speed</x:v>
      </x:c>
      <x:c r="E391" s="4" t="n">
        <x:v>20</x:v>
      </x:c>
      <x:c r="F391" s="4" t="str">
        <x:v>kn</x:v>
      </x:c>
      <x:c r="G391" s="4" t="str">
        <x:v>Builder published maximum speed</x:v>
      </x:c>
      <x:c r="H391" s="4" t="str"/>
      <x:c r="I391" s="4" t="str">
        <x:v>B720</x:v>
      </x:c>
      <x:c r="J391" s="4" t="str">
        <x:v>https://www.oceancoyacht.com/fleet/seven-seas/</x:v>
      </x:c>
      <x:c r="K391" s="28" t="n">
        <x:v>46290</x:v>
      </x:c>
    </x:row>
    <x:row r="392" ht="69" customHeight="1">
      <x:c r="A392" s="20" t="str">
        <x:v>Y721</x:v>
      </x:c>
      <x:c r="B392" s="20" t="str">
        <x:v>Koru</x:v>
      </x:c>
      <x:c r="C392" s="22" t="str">
        <x:v>9857298</x:v>
      </x:c>
      <x:c r="D392" s="4" t="str">
        <x:v>Yard code</x:v>
      </x:c>
      <x:c r="E392" s="4" t="str">
        <x:v>Y721</x:v>
      </x:c>
      <x:c r="F392" s="4" t="str"/>
      <x:c r="G392" s="4" t="str">
        <x:v>Public build-to-vessel cross-reference</x:v>
      </x:c>
      <x:c r="H392" s="4" t="str">
        <x:v>No builder certificate inspected.</x:v>
      </x:c>
      <x:c r="I392" s="4" t="str">
        <x:v>TC</x:v>
      </x:c>
      <x:c r="J392" s="4" t="str">
        <x:v>https://tech-consul.nl/projects</x:v>
      </x:c>
      <x:c r="K392" s="28" t="n">
        <x:v>46290</x:v>
      </x:c>
    </x:row>
    <x:row r="393" ht="69" customHeight="1">
      <x:c r="A393" s="20" t="str">
        <x:v>Y721</x:v>
      </x:c>
      <x:c r="B393" s="20" t="str">
        <x:v>Koru</x:v>
      </x:c>
      <x:c r="C393" s="22" t="str">
        <x:v>9857298</x:v>
      </x:c>
      <x:c r="D393" s="4" t="str">
        <x:v>Current published name</x:v>
      </x:c>
      <x:c r="E393" s="4" t="str">
        <x:v>Koru</x:v>
      </x:c>
      <x:c r="F393" s="4" t="str"/>
      <x:c r="G393" s="4" t="str">
        <x:v>Builder fleet publication</x:v>
      </x:c>
      <x:c r="H393" s="4" t="str">
        <x:v>Name may change after retrieval.</x:v>
      </x:c>
      <x:c r="I393" s="4" t="str">
        <x:v>B721</x:v>
      </x:c>
      <x:c r="J393" s="4" t="str">
        <x:v>https://www.oceancoyacht.com/fleet/koru/</x:v>
      </x:c>
      <x:c r="K393" s="28" t="n">
        <x:v>46290</x:v>
      </x:c>
    </x:row>
    <x:row r="394" ht="69" customHeight="1">
      <x:c r="A394" s="20" t="str">
        <x:v>Y721</x:v>
      </x:c>
      <x:c r="B394" s="20" t="str">
        <x:v>Koru</x:v>
      </x:c>
      <x:c r="C394" s="22" t="str">
        <x:v>9857298</x:v>
      </x:c>
      <x:c r="D394" s="4" t="str">
        <x:v>Delivered</x:v>
      </x:c>
      <x:c r="E394" s="4" t="n">
        <x:v>2023</x:v>
      </x:c>
      <x:c r="F394" s="4" t="str">
        <x:v>year</x:v>
      </x:c>
      <x:c r="G394" s="4" t="str">
        <x:v>Builder delivery year</x:v>
      </x:c>
      <x:c r="H394" s="4" t="str">
        <x:v>Do not equate with keel-laying or launch year.</x:v>
      </x:c>
      <x:c r="I394" s="4" t="str">
        <x:v>B721</x:v>
      </x:c>
      <x:c r="J394" s="4" t="str">
        <x:v>https://www.oceancoyacht.com/fleet/koru/</x:v>
      </x:c>
      <x:c r="K394" s="28" t="n">
        <x:v>46290</x:v>
      </x:c>
    </x:row>
    <x:row r="395" ht="69" customHeight="1">
      <x:c r="A395" s="20" t="str">
        <x:v>Y721</x:v>
      </x:c>
      <x:c r="B395" s="20" t="str">
        <x:v>Koru</x:v>
      </x:c>
      <x:c r="C395" s="22" t="str">
        <x:v>9857298</x:v>
      </x:c>
      <x:c r="D395" s="4" t="str">
        <x:v>IMO</x:v>
      </x:c>
      <x:c r="E395" s="4" t="str">
        <x:v>9857298</x:v>
      </x:c>
      <x:c r="F395" s="4" t="str"/>
      <x:c r="G395" s="4" t="str">
        <x:v>Database static vessel particulars</x:v>
      </x:c>
      <x:c r="H395" s="4" t="str">
        <x:v>Checksum passed; checksum does not independently confirm identity.</x:v>
      </x:c>
      <x:c r="I395" s="4" t="str">
        <x:v>V721</x:v>
      </x:c>
      <x:c r="J395" s="4" t="str">
        <x:v>https://www.vesselfinder.com/vessels/details/9857298</x:v>
      </x:c>
      <x:c r="K395" s="28" t="n">
        <x:v>46290</x:v>
      </x:c>
    </x:row>
    <x:row r="396" ht="69" customHeight="1">
      <x:c r="A396" s="20" t="str">
        <x:v>Y721</x:v>
      </x:c>
      <x:c r="B396" s="20" t="str">
        <x:v>Koru</x:v>
      </x:c>
      <x:c r="C396" s="22" t="str">
        <x:v>9857298</x:v>
      </x:c>
      <x:c r="D396" s="4" t="str">
        <x:v>MMSI</x:v>
      </x:c>
      <x:c r="E396" s="4" t="str">
        <x:v>319225400</x:v>
      </x:c>
      <x:c r="F396" s="4" t="str"/>
      <x:c r="G396" s="4" t="str">
        <x:v>Published radio identity</x:v>
      </x:c>
      <x:c r="H396" s="4" t="str">
        <x:v>Published database identity; current registry/radio licence not inspected.</x:v>
      </x:c>
      <x:c r="I396" s="4" t="str">
        <x:v>V721</x:v>
      </x:c>
      <x:c r="J396" s="4" t="str">
        <x:v>https://www.vesselfinder.com/vessels/details/9857298</x:v>
      </x:c>
      <x:c r="K396" s="28" t="n">
        <x:v>46290</x:v>
      </x:c>
    </x:row>
    <x:row r="397" ht="69" customHeight="1">
      <x:c r="A397" s="20" t="str">
        <x:v>Y721</x:v>
      </x:c>
      <x:c r="B397" s="20" t="str">
        <x:v>Koru</x:v>
      </x:c>
      <x:c r="C397" s="22" t="str">
        <x:v>9857298</x:v>
      </x:c>
      <x:c r="D397" s="4" t="str">
        <x:v>Call sign</x:v>
      </x:c>
      <x:c r="E397" s="4" t="str">
        <x:v>ZGQC5</x:v>
      </x:c>
      <x:c r="F397" s="4" t="str"/>
      <x:c r="G397" s="4" t="str">
        <x:v>Published radio identity</x:v>
      </x:c>
      <x:c r="H397" s="4" t="str">
        <x:v>Published database identity; current registry/radio licence not inspected.</x:v>
      </x:c>
      <x:c r="I397" s="4" t="str">
        <x:v>V721</x:v>
      </x:c>
      <x:c r="J397" s="4" t="str">
        <x:v>https://www.vesselfinder.com/vessels/details/9857298</x:v>
      </x:c>
      <x:c r="K397" s="28" t="n">
        <x:v>46290</x:v>
      </x:c>
    </x:row>
    <x:row r="398" ht="69" customHeight="1">
      <x:c r="A398" s="20" t="str">
        <x:v>Y721</x:v>
      </x:c>
      <x:c r="B398" s="20" t="str">
        <x:v>Koru</x:v>
      </x:c>
      <x:c r="C398" s="22" t="str">
        <x:v>9857298</x:v>
      </x:c>
      <x:c r="D398" s="4" t="str">
        <x:v>Flag</x:v>
      </x:c>
      <x:c r="E398" s="4" t="str">
        <x:v>Cayman Islands</x:v>
      </x:c>
      <x:c r="F398" s="4" t="str"/>
      <x:c r="G398" s="4" t="str">
        <x:v>Published flag / AIS identity</x:v>
      </x:c>
      <x:c r="H398" s="4" t="str">
        <x:v>Published database identity; current registry/radio licence not inspected.</x:v>
      </x:c>
      <x:c r="I398" s="4" t="str">
        <x:v>V721</x:v>
      </x:c>
      <x:c r="J398" s="4" t="str">
        <x:v>https://www.vesselfinder.com/vessels/details/9857298</x:v>
      </x:c>
      <x:c r="K398" s="28" t="n">
        <x:v>46290</x:v>
      </x:c>
    </x:row>
    <x:row r="399" ht="69" customHeight="1">
      <x:c r="A399" s="20" t="str">
        <x:v>Y721</x:v>
      </x:c>
      <x:c r="B399" s="20" t="str">
        <x:v>Koru</x:v>
      </x:c>
      <x:c r="C399" s="22" t="str">
        <x:v>9857298</x:v>
      </x:c>
      <x:c r="D399" s="4" t="str">
        <x:v>Preferred published LOA</x:v>
      </x:c>
      <x:c r="E399" s="4" t="n">
        <x:v>125</x:v>
      </x:c>
      <x:c r="F399" s="4" t="str">
        <x:v>m</x:v>
      </x:c>
      <x:c r="G399" s="4" t="str">
        <x:v>Builder published overall length</x:v>
      </x:c>
      <x:c r="H399" s="4" t="str">
        <x:v>Not independently measured or certificate-verified.</x:v>
      </x:c>
      <x:c r="I399" s="4" t="str">
        <x:v>B721</x:v>
      </x:c>
      <x:c r="J399" s="4" t="str">
        <x:v>https://www.oceancoyacht.com/fleet/koru/</x:v>
      </x:c>
      <x:c r="K399" s="28" t="n">
        <x:v>46290</x:v>
      </x:c>
    </x:row>
    <x:row r="400" ht="69" customHeight="1">
      <x:c r="A400" s="20" t="str">
        <x:v>Y721</x:v>
      </x:c>
      <x:c r="B400" s="20" t="str">
        <x:v>Koru</x:v>
      </x:c>
      <x:c r="C400" s="22" t="str">
        <x:v>9857298</x:v>
      </x:c>
      <x:c r="D400" s="4" t="str">
        <x:v>Preferred published beam</x:v>
      </x:c>
      <x:c r="E400" s="4" t="n">
        <x:v>17.2</x:v>
      </x:c>
      <x:c r="F400" s="4" t="str">
        <x:v>m</x:v>
      </x:c>
      <x:c r="G400" s="4" t="str">
        <x:v>Builder published overall beam</x:v>
      </x:c>
      <x:c r="H400" s="4" t="str">
        <x:v>Not moulded breadth unless source explicitly says so.</x:v>
      </x:c>
      <x:c r="I400" s="4" t="str">
        <x:v>B721</x:v>
      </x:c>
      <x:c r="J400" s="4" t="str">
        <x:v>https://www.oceancoyacht.com/fleet/koru/</x:v>
      </x:c>
      <x:c r="K400" s="28" t="n">
        <x:v>46290</x:v>
      </x:c>
    </x:row>
    <x:row r="401" ht="69" customHeight="1">
      <x:c r="A401" s="20" t="str">
        <x:v>Y721</x:v>
      </x:c>
      <x:c r="B401" s="20" t="str">
        <x:v>Koru</x:v>
      </x:c>
      <x:c r="C401" s="22" t="str">
        <x:v>9857298</x:v>
      </x:c>
      <x:c r="D401" s="4" t="str">
        <x:v>Working gross tonnage</x:v>
      </x:c>
      <x:c r="E401" s="4" t="n">
        <x:v>3493</x:v>
      </x:c>
      <x:c r="F401" s="4" t="str">
        <x:v>GT</x:v>
      </x:c>
      <x:c r="G401" s="4" t="str">
        <x:v>Database static GT</x:v>
      </x:c>
      <x:c r="H401" s="4" t="str">
        <x:v>GT is not mass/displacement.</x:v>
      </x:c>
      <x:c r="I401" s="4" t="str">
        <x:v>V721</x:v>
      </x:c>
      <x:c r="J401" s="4" t="str">
        <x:v>https://www.vesselfinder.com/vessels/details/9857298</x:v>
      </x:c>
      <x:c r="K401" s="28" t="n">
        <x:v>46290</x:v>
      </x:c>
    </x:row>
    <x:row r="402" ht="69" customHeight="1">
      <x:c r="A402" s="20" t="str">
        <x:v>Y721</x:v>
      </x:c>
      <x:c r="B402" s="20" t="str">
        <x:v>Koru</x:v>
      </x:c>
      <x:c r="C402" s="22" t="str">
        <x:v>9857298</x:v>
      </x:c>
      <x:c r="D402" s="4" t="str">
        <x:v>Database static LOA</x:v>
      </x:c>
      <x:c r="E402" s="4" t="n">
        <x:v>125</x:v>
      </x:c>
      <x:c r="F402" s="4" t="str">
        <x:v>m</x:v>
      </x:c>
      <x:c r="G402" s="4" t="str">
        <x:v>Database static specification, not AIS dimensions</x:v>
      </x:c>
      <x:c r="H402" s="4" t="str">
        <x:v>Builder 125 x 17.2m. Lateral title says 125m, body 127 x 16m. Database beam 17m.</x:v>
      </x:c>
      <x:c r="I402" s="4" t="str">
        <x:v>V721</x:v>
      </x:c>
      <x:c r="J402" s="4" t="str">
        <x:v>https://www.vesselfinder.com/vessels/details/9857298</x:v>
      </x:c>
      <x:c r="K402" s="28" t="n">
        <x:v>46290</x:v>
      </x:c>
    </x:row>
    <x:row r="403" ht="69" customHeight="1">
      <x:c r="A403" s="20" t="str">
        <x:v>Y721</x:v>
      </x:c>
      <x:c r="B403" s="20" t="str">
        <x:v>Koru</x:v>
      </x:c>
      <x:c r="C403" s="22" t="str">
        <x:v>9857298</x:v>
      </x:c>
      <x:c r="D403" s="4" t="str">
        <x:v>Database static beam</x:v>
      </x:c>
      <x:c r="E403" s="4" t="n">
        <x:v>17</x:v>
      </x:c>
      <x:c r="F403" s="4" t="str">
        <x:v>m</x:v>
      </x:c>
      <x:c r="G403" s="4" t="str">
        <x:v>Database static specification, not AIS dimensions</x:v>
      </x:c>
      <x:c r="H403" s="4" t="str">
        <x:v>Builder 125 x 17.2m. Lateral title says 125m, body 127 x 16m. Database beam 17m.</x:v>
      </x:c>
      <x:c r="I403" s="4" t="str">
        <x:v>V721</x:v>
      </x:c>
      <x:c r="J403" s="4" t="str">
        <x:v>https://www.vesselfinder.com/vessels/details/9857298</x:v>
      </x:c>
      <x:c r="K403" s="28" t="n">
        <x:v>46290</x:v>
      </x:c>
    </x:row>
    <x:row r="404" ht="69" customHeight="1">
      <x:c r="A404" s="20" t="str">
        <x:v>Y721</x:v>
      </x:c>
      <x:c r="B404" s="20" t="str">
        <x:v>Koru</x:v>
      </x:c>
      <x:c r="C404" s="22" t="str">
        <x:v>9857298</x:v>
      </x:c>
      <x:c r="D404" s="4" t="str">
        <x:v>Database static GT</x:v>
      </x:c>
      <x:c r="E404" s="4" t="n">
        <x:v>3493</x:v>
      </x:c>
      <x:c r="F404" s="4" t="str">
        <x:v>GT</x:v>
      </x:c>
      <x:c r="G404" s="4" t="str">
        <x:v>Database static specification</x:v>
      </x:c>
      <x:c r="H404" s="4" t="str">
        <x:v>Not a current International Tonnage Certificate.</x:v>
      </x:c>
      <x:c r="I404" s="4" t="str">
        <x:v>V721</x:v>
      </x:c>
      <x:c r="J404" s="4" t="str">
        <x:v>https://www.vesselfinder.com/vessels/details/9857298</x:v>
      </x:c>
      <x:c r="K404" s="28" t="n">
        <x:v>46290</x:v>
      </x:c>
    </x:row>
    <x:row r="405" ht="69" customHeight="1">
      <x:c r="A405" s="20" t="str">
        <x:v>Y721</x:v>
      </x:c>
      <x:c r="B405" s="20" t="str">
        <x:v>Koru</x:v>
      </x:c>
      <x:c r="C405" s="22" t="str">
        <x:v>9857298</x:v>
      </x:c>
      <x:c r="D405" s="4" t="str">
        <x:v>Database deadweight</x:v>
      </x:c>
      <x:c r="E405" s="4" t="n">
        <x:v>414</x:v>
      </x:c>
      <x:c r="F405" s="4" t="str">
        <x:v>t</x:v>
      </x:c>
      <x:c r="G405" s="4" t="str">
        <x:v>Database static specification</x:v>
      </x:c>
      <x:c r="H405" s="4" t="str">
        <x:v>Deadweight is not displacement or gross tonnage.</x:v>
      </x:c>
      <x:c r="I405" s="4" t="str">
        <x:v>V721</x:v>
      </x:c>
      <x:c r="J405" s="4" t="str">
        <x:v>https://www.vesselfinder.com/vessels/details/9857298</x:v>
      </x:c>
      <x:c r="K405" s="28" t="n">
        <x:v>46290</x:v>
      </x:c>
    </x:row>
    <x:row r="406" ht="69" customHeight="1">
      <x:c r="A406" s="20" t="str">
        <x:v>Y721</x:v>
      </x:c>
      <x:c r="B406" s="20" t="str">
        <x:v>Koru</x:v>
      </x:c>
      <x:c r="C406" s="22" t="str">
        <x:v>9857298</x:v>
      </x:c>
      <x:c r="D406" s="4" t="str">
        <x:v>Naval architecture / engineering</x:v>
      </x:c>
      <x:c r="E406" s="4" t="str">
        <x:v>Lateral; Dykstra Naval Architects</x:v>
      </x:c>
      <x:c r="F406" s="4" t="str"/>
      <x:c r="G406" s="4" t="str">
        <x:v>Builder project credit</x:v>
      </x:c>
      <x:c r="H406" s="4" t="str"/>
      <x:c r="I406" s="4" t="str">
        <x:v>B721</x:v>
      </x:c>
      <x:c r="J406" s="4" t="str">
        <x:v>https://www.oceancoyacht.com/fleet/koru/</x:v>
      </x:c>
      <x:c r="K406" s="28" t="n">
        <x:v>46290</x:v>
      </x:c>
    </x:row>
    <x:row r="407" ht="69" customHeight="1">
      <x:c r="A407" s="20" t="str">
        <x:v>Y721</x:v>
      </x:c>
      <x:c r="B407" s="20" t="str">
        <x:v>Koru</x:v>
      </x:c>
      <x:c r="C407" s="22" t="str">
        <x:v>9857298</x:v>
      </x:c>
      <x:c r="D407" s="4" t="str">
        <x:v>Exterior design</x:v>
      </x:c>
      <x:c r="E407" s="4" t="str">
        <x:v>Dykstra Naval Architects</x:v>
      </x:c>
      <x:c r="F407" s="4" t="str"/>
      <x:c r="G407" s="4" t="str">
        <x:v>Builder design credit; original build unless expressly noted</x:v>
      </x:c>
      <x:c r="H407" s="4" t="str"/>
      <x:c r="I407" s="4" t="str">
        <x:v>B721</x:v>
      </x:c>
      <x:c r="J407" s="4" t="str">
        <x:v>https://www.oceancoyacht.com/fleet/koru/</x:v>
      </x:c>
      <x:c r="K407" s="28" t="n">
        <x:v>46290</x:v>
      </x:c>
    </x:row>
    <x:row r="408" ht="69" customHeight="1">
      <x:c r="A408" s="20" t="str">
        <x:v>Y721</x:v>
      </x:c>
      <x:c r="B408" s="20" t="str">
        <x:v>Koru</x:v>
      </x:c>
      <x:c r="C408" s="22" t="str">
        <x:v>9857298</x:v>
      </x:c>
      <x:c r="D408" s="4" t="str">
        <x:v>Interior design</x:v>
      </x:c>
      <x:c r="E408" s="4" t="str">
        <x:v>Tino Zervudachi &amp; Associés</x:v>
      </x:c>
      <x:c r="F408" s="4" t="str"/>
      <x:c r="G408" s="4" t="str">
        <x:v>Builder design credit; may not describe later refit</x:v>
      </x:c>
      <x:c r="H408" s="4" t="str"/>
      <x:c r="I408" s="4" t="str">
        <x:v>B721</x:v>
      </x:c>
      <x:c r="J408" s="4" t="str">
        <x:v>https://www.oceancoyacht.com/fleet/koru/</x:v>
      </x:c>
      <x:c r="K408" s="28" t="n">
        <x:v>46290</x:v>
      </x:c>
    </x:row>
    <x:row r="409" ht="69" customHeight="1">
      <x:c r="A409" s="20" t="str">
        <x:v>Y721</x:v>
      </x:c>
      <x:c r="B409" s="20" t="str">
        <x:v>Koru</x:v>
      </x:c>
      <x:c r="C409" s="22" t="str">
        <x:v>9857298</x:v>
      </x:c>
      <x:c r="D409" s="4" t="str">
        <x:v>Naval-architect body length</x:v>
      </x:c>
      <x:c r="E409" s="4" t="n">
        <x:v>127</x:v>
      </x:c>
      <x:c r="F409" s="4" t="str">
        <x:v>m</x:v>
      </x:c>
      <x:c r="G409" s="4" t="str">
        <x:v>Conflicting published observation</x:v>
      </x:c>
      <x:c r="H409" s="4" t="str">
        <x:v>Same page title is 125m; builder current length is 125m.</x:v>
      </x:c>
      <x:c r="I409" s="4" t="str">
        <x:v>LAT721</x:v>
      </x:c>
      <x:c r="J409" s="4" t="str">
        <x:v>https://www.lateral.engineering/projects/koru-125m-410ft/</x:v>
      </x:c>
      <x:c r="K409" s="28" t="n">
        <x:v>46290</x:v>
      </x:c>
    </x:row>
    <x:row r="410" ht="69" customHeight="1">
      <x:c r="A410" s="20" t="str">
        <x:v>Y721</x:v>
      </x:c>
      <x:c r="B410" s="20" t="str">
        <x:v>Koru</x:v>
      </x:c>
      <x:c r="C410" s="22" t="str">
        <x:v>9857298</x:v>
      </x:c>
      <x:c r="D410" s="4" t="str">
        <x:v>Naval-architect body beam</x:v>
      </x:c>
      <x:c r="E410" s="4" t="n">
        <x:v>16</x:v>
      </x:c>
      <x:c r="F410" s="4" t="str">
        <x:v>m</x:v>
      </x:c>
      <x:c r="G410" s="4" t="str">
        <x:v>Conflicting published observation</x:v>
      </x:c>
      <x:c r="H410" s="4" t="str">
        <x:v>Builder current beam is 17.2m.</x:v>
      </x:c>
      <x:c r="I410" s="4" t="str">
        <x:v>LAT721</x:v>
      </x:c>
      <x:c r="J410" s="4" t="str">
        <x:v>https://www.lateral.engineering/projects/koru-125m-410ft/</x:v>
      </x:c>
      <x:c r="K410" s="28" t="n">
        <x:v>46290</x:v>
      </x:c>
    </x:row>
    <x:row r="411" ht="69" customHeight="1">
      <x:c r="A411" s="20" t="str">
        <x:v>Y722</x:v>
      </x:c>
      <x:c r="B411" s="20" t="str">
        <x:v>Leviathan</x:v>
      </x:c>
      <x:c r="C411" s="22" t="str">
        <x:v>9921491</x:v>
      </x:c>
      <x:c r="D411" s="4" t="str">
        <x:v>Yard code</x:v>
      </x:c>
      <x:c r="E411" s="4" t="str">
        <x:v>Y722</x:v>
      </x:c>
      <x:c r="F411" s="4" t="str"/>
      <x:c r="G411" s="4" t="str">
        <x:v>Public build-to-vessel cross-reference</x:v>
      </x:c>
      <x:c r="H411" s="4" t="str">
        <x:v>No builder certificate inspected.</x:v>
      </x:c>
      <x:c r="I411" s="4" t="str">
        <x:v>LAT722</x:v>
      </x:c>
      <x:c r="J411" s="4" t="str">
        <x:v>https://www.lateral.engineering/projects/leviathan/</x:v>
      </x:c>
      <x:c r="K411" s="28" t="n">
        <x:v>46290</x:v>
      </x:c>
    </x:row>
    <x:row r="412" ht="69" customHeight="1">
      <x:c r="A412" s="20" t="str">
        <x:v>Y722</x:v>
      </x:c>
      <x:c r="B412" s="20" t="str">
        <x:v>Leviathan</x:v>
      </x:c>
      <x:c r="C412" s="22" t="str">
        <x:v>9921491</x:v>
      </x:c>
      <x:c r="D412" s="4" t="str">
        <x:v>Current published name</x:v>
      </x:c>
      <x:c r="E412" s="4" t="str">
        <x:v>Leviathan</x:v>
      </x:c>
      <x:c r="F412" s="4" t="str"/>
      <x:c r="G412" s="4" t="str">
        <x:v>Builder fleet publication</x:v>
      </x:c>
      <x:c r="H412" s="4" t="str">
        <x:v>Name may change after retrieval.</x:v>
      </x:c>
      <x:c r="I412" s="4" t="str">
        <x:v>B722</x:v>
      </x:c>
      <x:c r="J412" s="4" t="str">
        <x:v>https://www.oceancoyacht.com/fleet/leviathan/</x:v>
      </x:c>
      <x:c r="K412" s="28" t="n">
        <x:v>46290</x:v>
      </x:c>
    </x:row>
    <x:row r="413" ht="69" customHeight="1">
      <x:c r="A413" s="20" t="str">
        <x:v>Y722</x:v>
      </x:c>
      <x:c r="B413" s="20" t="str">
        <x:v>Leviathan</x:v>
      </x:c>
      <x:c r="C413" s="22" t="str">
        <x:v>9921491</x:v>
      </x:c>
      <x:c r="D413" s="4" t="str">
        <x:v>Delivered</x:v>
      </x:c>
      <x:c r="E413" s="4" t="n">
        <x:v>2025</x:v>
      </x:c>
      <x:c r="F413" s="4" t="str">
        <x:v>year</x:v>
      </x:c>
      <x:c r="G413" s="4" t="str">
        <x:v>Builder delivery year</x:v>
      </x:c>
      <x:c r="H413" s="4" t="str">
        <x:v>Do not equate with keel-laying or launch year.</x:v>
      </x:c>
      <x:c r="I413" s="4" t="str">
        <x:v>B722</x:v>
      </x:c>
      <x:c r="J413" s="4" t="str">
        <x:v>https://www.oceancoyacht.com/fleet/leviathan/</x:v>
      </x:c>
      <x:c r="K413" s="28" t="n">
        <x:v>46290</x:v>
      </x:c>
    </x:row>
    <x:row r="414" ht="69" customHeight="1">
      <x:c r="A414" s="20" t="str">
        <x:v>Y722</x:v>
      </x:c>
      <x:c r="B414" s="20" t="str">
        <x:v>Leviathan</x:v>
      </x:c>
      <x:c r="C414" s="22" t="str">
        <x:v>9921491</x:v>
      </x:c>
      <x:c r="D414" s="4" t="str">
        <x:v>IMO</x:v>
      </x:c>
      <x:c r="E414" s="4" t="str">
        <x:v>9921491</x:v>
      </x:c>
      <x:c r="F414" s="4" t="str"/>
      <x:c r="G414" s="4" t="str">
        <x:v>Database static vessel particulars</x:v>
      </x:c>
      <x:c r="H414" s="4" t="str">
        <x:v>Checksum passed; checksum does not independently confirm identity.</x:v>
      </x:c>
      <x:c r="I414" s="4" t="str">
        <x:v>V722</x:v>
      </x:c>
      <x:c r="J414" s="4" t="str">
        <x:v>https://www.vesselfinder.com/vessels/details/9921491</x:v>
      </x:c>
      <x:c r="K414" s="28" t="n">
        <x:v>46290</x:v>
      </x:c>
    </x:row>
    <x:row r="415" ht="69" customHeight="1">
      <x:c r="A415" s="20" t="str">
        <x:v>Y722</x:v>
      </x:c>
      <x:c r="B415" s="20" t="str">
        <x:v>Leviathan</x:v>
      </x:c>
      <x:c r="C415" s="22" t="str">
        <x:v>9921491</x:v>
      </x:c>
      <x:c r="D415" s="4" t="str">
        <x:v>MMSI</x:v>
      </x:c>
      <x:c r="E415" s="4" t="str">
        <x:v>319324100</x:v>
      </x:c>
      <x:c r="F415" s="4" t="str"/>
      <x:c r="G415" s="4" t="str">
        <x:v>Published radio identity</x:v>
      </x:c>
      <x:c r="H415" s="4" t="str">
        <x:v>Published database identity; current registry/radio licence not inspected.</x:v>
      </x:c>
      <x:c r="I415" s="4" t="str">
        <x:v>V722</x:v>
      </x:c>
      <x:c r="J415" s="4" t="str">
        <x:v>https://www.vesselfinder.com/vessels/details/9921491</x:v>
      </x:c>
      <x:c r="K415" s="28" t="n">
        <x:v>46290</x:v>
      </x:c>
    </x:row>
    <x:row r="416" ht="69" customHeight="1">
      <x:c r="A416" s="20" t="str">
        <x:v>Y722</x:v>
      </x:c>
      <x:c r="B416" s="20" t="str">
        <x:v>Leviathan</x:v>
      </x:c>
      <x:c r="C416" s="22" t="str">
        <x:v>9921491</x:v>
      </x:c>
      <x:c r="D416" s="4" t="str">
        <x:v>Call sign</x:v>
      </x:c>
      <x:c r="E416" s="4" t="str">
        <x:v>ZGUZ3</x:v>
      </x:c>
      <x:c r="F416" s="4" t="str"/>
      <x:c r="G416" s="4" t="str">
        <x:v>Published radio identity</x:v>
      </x:c>
      <x:c r="H416" s="4" t="str">
        <x:v>Published database identity; current registry/radio licence not inspected.</x:v>
      </x:c>
      <x:c r="I416" s="4" t="str">
        <x:v>V722</x:v>
      </x:c>
      <x:c r="J416" s="4" t="str">
        <x:v>https://www.vesselfinder.com/vessels/details/9921491</x:v>
      </x:c>
      <x:c r="K416" s="28" t="n">
        <x:v>46290</x:v>
      </x:c>
    </x:row>
    <x:row r="417" ht="69" customHeight="1">
      <x:c r="A417" s="20" t="str">
        <x:v>Y722</x:v>
      </x:c>
      <x:c r="B417" s="20" t="str">
        <x:v>Leviathan</x:v>
      </x:c>
      <x:c r="C417" s="22" t="str">
        <x:v>9921491</x:v>
      </x:c>
      <x:c r="D417" s="4" t="str">
        <x:v>Flag</x:v>
      </x:c>
      <x:c r="E417" s="4" t="str">
        <x:v>Cayman Islands</x:v>
      </x:c>
      <x:c r="F417" s="4" t="str"/>
      <x:c r="G417" s="4" t="str">
        <x:v>Published flag / AIS identity</x:v>
      </x:c>
      <x:c r="H417" s="4" t="str">
        <x:v>Published database identity; current registry/radio licence not inspected.</x:v>
      </x:c>
      <x:c r="I417" s="4" t="str">
        <x:v>V722</x:v>
      </x:c>
      <x:c r="J417" s="4" t="str">
        <x:v>https://www.vesselfinder.com/vessels/details/9921491</x:v>
      </x:c>
      <x:c r="K417" s="28" t="n">
        <x:v>46290</x:v>
      </x:c>
    </x:row>
    <x:row r="418" ht="69" customHeight="1">
      <x:c r="A418" s="20" t="str">
        <x:v>Y722</x:v>
      </x:c>
      <x:c r="B418" s="20" t="str">
        <x:v>Leviathan</x:v>
      </x:c>
      <x:c r="C418" s="22" t="str">
        <x:v>9921491</x:v>
      </x:c>
      <x:c r="D418" s="4" t="str">
        <x:v>Preferred published LOA</x:v>
      </x:c>
      <x:c r="E418" s="4" t="n">
        <x:v>111</x:v>
      </x:c>
      <x:c r="F418" s="4" t="str">
        <x:v>m</x:v>
      </x:c>
      <x:c r="G418" s="4" t="str">
        <x:v>Builder published overall length</x:v>
      </x:c>
      <x:c r="H418" s="4" t="str">
        <x:v>Not independently measured or certificate-verified.</x:v>
      </x:c>
      <x:c r="I418" s="4" t="str">
        <x:v>B722</x:v>
      </x:c>
      <x:c r="J418" s="4" t="str">
        <x:v>https://www.oceancoyacht.com/fleet/leviathan/</x:v>
      </x:c>
      <x:c r="K418" s="28" t="n">
        <x:v>46290</x:v>
      </x:c>
    </x:row>
    <x:row r="419" ht="69" customHeight="1">
      <x:c r="A419" s="20" t="str">
        <x:v>Y722</x:v>
      </x:c>
      <x:c r="B419" s="20" t="str">
        <x:v>Leviathan</x:v>
      </x:c>
      <x:c r="C419" s="22" t="str">
        <x:v>9921491</x:v>
      </x:c>
      <x:c r="D419" s="4" t="str">
        <x:v>Preferred published beam</x:v>
      </x:c>
      <x:c r="E419" s="4" t="n">
        <x:v>17.8</x:v>
      </x:c>
      <x:c r="F419" s="4" t="str">
        <x:v>m</x:v>
      </x:c>
      <x:c r="G419" s="4" t="str">
        <x:v>Builder published overall beam</x:v>
      </x:c>
      <x:c r="H419" s="4" t="str">
        <x:v>Not moulded breadth unless source explicitly says so.</x:v>
      </x:c>
      <x:c r="I419" s="4" t="str">
        <x:v>B722</x:v>
      </x:c>
      <x:c r="J419" s="4" t="str">
        <x:v>https://www.oceancoyacht.com/fleet/leviathan/</x:v>
      </x:c>
      <x:c r="K419" s="28" t="n">
        <x:v>46290</x:v>
      </x:c>
    </x:row>
    <x:row r="420" ht="69" customHeight="1">
      <x:c r="A420" s="20" t="str">
        <x:v>Y722</x:v>
      </x:c>
      <x:c r="B420" s="20" t="str">
        <x:v>Leviathan</x:v>
      </x:c>
      <x:c r="C420" s="22" t="str">
        <x:v>9921491</x:v>
      </x:c>
      <x:c r="D420" s="4" t="str">
        <x:v>Working gross tonnage</x:v>
      </x:c>
      <x:c r="E420" s="4" t="n">
        <x:v>4970</x:v>
      </x:c>
      <x:c r="F420" s="4" t="str">
        <x:v>GT</x:v>
      </x:c>
      <x:c r="G420" s="4" t="str">
        <x:v>Builder published GT</x:v>
      </x:c>
      <x:c r="H420" s="4" t="str">
        <x:v>GT is not mass/displacement.</x:v>
      </x:c>
      <x:c r="I420" s="4" t="str">
        <x:v>B722</x:v>
      </x:c>
      <x:c r="J420" s="4" t="str">
        <x:v>https://www.oceancoyacht.com/fleet/leviathan/</x:v>
      </x:c>
      <x:c r="K420" s="28" t="n">
        <x:v>46290</x:v>
      </x:c>
    </x:row>
    <x:row r="421" ht="69" customHeight="1">
      <x:c r="A421" s="20" t="str">
        <x:v>Y722</x:v>
      </x:c>
      <x:c r="B421" s="20" t="str">
        <x:v>Leviathan</x:v>
      </x:c>
      <x:c r="C421" s="22" t="str">
        <x:v>9921491</x:v>
      </x:c>
      <x:c r="D421" s="4" t="str">
        <x:v>Database static LOA</x:v>
      </x:c>
      <x:c r="E421" s="4" t="n">
        <x:v>110</x:v>
      </x:c>
      <x:c r="F421" s="4" t="str">
        <x:v>m</x:v>
      </x:c>
      <x:c r="G421" s="4" t="str">
        <x:v>Database static specification, not AIS dimensions</x:v>
      </x:c>
      <x:c r="H421" s="4" t="str">
        <x:v>Builder/Lateral 111 x 17.8m; database 110 x 15m. Builder and database agree 4970GT.</x:v>
      </x:c>
      <x:c r="I421" s="4" t="str">
        <x:v>V722</x:v>
      </x:c>
      <x:c r="J421" s="4" t="str">
        <x:v>https://www.vesselfinder.com/vessels/details/9921491</x:v>
      </x:c>
      <x:c r="K421" s="28" t="n">
        <x:v>46290</x:v>
      </x:c>
    </x:row>
    <x:row r="422" ht="69" customHeight="1">
      <x:c r="A422" s="20" t="str">
        <x:v>Y722</x:v>
      </x:c>
      <x:c r="B422" s="20" t="str">
        <x:v>Leviathan</x:v>
      </x:c>
      <x:c r="C422" s="22" t="str">
        <x:v>9921491</x:v>
      </x:c>
      <x:c r="D422" s="4" t="str">
        <x:v>Database static beam</x:v>
      </x:c>
      <x:c r="E422" s="4" t="n">
        <x:v>15</x:v>
      </x:c>
      <x:c r="F422" s="4" t="str">
        <x:v>m</x:v>
      </x:c>
      <x:c r="G422" s="4" t="str">
        <x:v>Database static specification, not AIS dimensions</x:v>
      </x:c>
      <x:c r="H422" s="4" t="str">
        <x:v>Builder/Lateral 111 x 17.8m; database 110 x 15m. Builder and database agree 4970GT.</x:v>
      </x:c>
      <x:c r="I422" s="4" t="str">
        <x:v>V722</x:v>
      </x:c>
      <x:c r="J422" s="4" t="str">
        <x:v>https://www.vesselfinder.com/vessels/details/9921491</x:v>
      </x:c>
      <x:c r="K422" s="28" t="n">
        <x:v>46290</x:v>
      </x:c>
    </x:row>
    <x:row r="423" ht="69" customHeight="1">
      <x:c r="A423" s="20" t="str">
        <x:v>Y722</x:v>
      </x:c>
      <x:c r="B423" s="20" t="str">
        <x:v>Leviathan</x:v>
      </x:c>
      <x:c r="C423" s="22" t="str">
        <x:v>9921491</x:v>
      </x:c>
      <x:c r="D423" s="4" t="str">
        <x:v>Database static GT</x:v>
      </x:c>
      <x:c r="E423" s="4" t="n">
        <x:v>4970</x:v>
      </x:c>
      <x:c r="F423" s="4" t="str">
        <x:v>GT</x:v>
      </x:c>
      <x:c r="G423" s="4" t="str">
        <x:v>Database static specification</x:v>
      </x:c>
      <x:c r="H423" s="4" t="str">
        <x:v>Not a current International Tonnage Certificate.</x:v>
      </x:c>
      <x:c r="I423" s="4" t="str">
        <x:v>V722</x:v>
      </x:c>
      <x:c r="J423" s="4" t="str">
        <x:v>https://www.vesselfinder.com/vessels/details/9921491</x:v>
      </x:c>
      <x:c r="K423" s="28" t="n">
        <x:v>46290</x:v>
      </x:c>
    </x:row>
    <x:row r="424" ht="69" customHeight="1">
      <x:c r="A424" s="20" t="str">
        <x:v>Y722</x:v>
      </x:c>
      <x:c r="B424" s="20" t="str">
        <x:v>Leviathan</x:v>
      </x:c>
      <x:c r="C424" s="22" t="str">
        <x:v>9921491</x:v>
      </x:c>
      <x:c r="D424" s="4" t="str">
        <x:v>Database build year</x:v>
      </x:c>
      <x:c r="E424" s="4" t="n">
        <x:v>2025</x:v>
      </x:c>
      <x:c r="F424" s="4" t="str">
        <x:v>year</x:v>
      </x:c>
      <x:c r="G424" s="4" t="str">
        <x:v>Explicitly captured database build year</x:v>
      </x:c>
      <x:c r="H424" s="4" t="str">
        <x:v>May differ from delivery.</x:v>
      </x:c>
      <x:c r="I424" s="4" t="str">
        <x:v>V722</x:v>
      </x:c>
      <x:c r="J424" s="4" t="str">
        <x:v>https://www.vesselfinder.com/vessels/details/9921491</x:v>
      </x:c>
      <x:c r="K424" s="28" t="n">
        <x:v>46290</x:v>
      </x:c>
    </x:row>
    <x:row r="425" ht="69" customHeight="1">
      <x:c r="A425" s="20" t="str">
        <x:v>Y722</x:v>
      </x:c>
      <x:c r="B425" s="20" t="str">
        <x:v>Leviathan</x:v>
      </x:c>
      <x:c r="C425" s="22" t="str">
        <x:v>9921491</x:v>
      </x:c>
      <x:c r="D425" s="4" t="str">
        <x:v>Naval architecture / engineering</x:v>
      </x:c>
      <x:c r="E425" s="4" t="str">
        <x:v>Lateral; Oceanco</x:v>
      </x:c>
      <x:c r="F425" s="4" t="str"/>
      <x:c r="G425" s="4" t="str">
        <x:v>Naval-architect project credit</x:v>
      </x:c>
      <x:c r="H425" s="4" t="str"/>
      <x:c r="I425" s="4" t="str">
        <x:v>LAT722</x:v>
      </x:c>
      <x:c r="J425" s="4" t="str">
        <x:v>https://www.lateral.engineering/projects/leviathan/</x:v>
      </x:c>
      <x:c r="K425" s="28" t="n">
        <x:v>46290</x:v>
      </x:c>
    </x:row>
    <x:row r="426" ht="69" customHeight="1">
      <x:c r="A426" s="20" t="str">
        <x:v>Y722</x:v>
      </x:c>
      <x:c r="B426" s="20" t="str">
        <x:v>Leviathan</x:v>
      </x:c>
      <x:c r="C426" s="22" t="str">
        <x:v>9921491</x:v>
      </x:c>
      <x:c r="D426" s="4" t="str">
        <x:v>Exterior design</x:v>
      </x:c>
      <x:c r="E426" s="4" t="str">
        <x:v>Oceanco</x:v>
      </x:c>
      <x:c r="F426" s="4" t="str"/>
      <x:c r="G426" s="4" t="str">
        <x:v>Builder design credit; original build unless expressly noted</x:v>
      </x:c>
      <x:c r="H426" s="4" t="str"/>
      <x:c r="I426" s="4" t="str">
        <x:v>B722</x:v>
      </x:c>
      <x:c r="J426" s="4" t="str">
        <x:v>https://www.oceancoyacht.com/fleet/leviathan/</x:v>
      </x:c>
      <x:c r="K426" s="28" t="n">
        <x:v>46290</x:v>
      </x:c>
    </x:row>
    <x:row r="427" ht="69" customHeight="1">
      <x:c r="A427" s="20" t="str">
        <x:v>Y722</x:v>
      </x:c>
      <x:c r="B427" s="20" t="str">
        <x:v>Leviathan</x:v>
      </x:c>
      <x:c r="C427" s="22" t="str">
        <x:v>9921491</x:v>
      </x:c>
      <x:c r="D427" s="4" t="str">
        <x:v>Interior design</x:v>
      </x:c>
      <x:c r="E427" s="4" t="str">
        <x:v>Mark Berryman</x:v>
      </x:c>
      <x:c r="F427" s="4" t="str"/>
      <x:c r="G427" s="4" t="str">
        <x:v>Builder design credit; may not describe later refit</x:v>
      </x:c>
      <x:c r="H427" s="4" t="str"/>
      <x:c r="I427" s="4" t="str">
        <x:v>B722</x:v>
      </x:c>
      <x:c r="J427" s="4" t="str">
        <x:v>https://www.oceancoyacht.com/fleet/leviathan/</x:v>
      </x:c>
      <x:c r="K427" s="28" t="n">
        <x:v>46290</x:v>
      </x:c>
    </x:row>
    <x:row r="428" ht="69" customHeight="1">
      <x:c r="A428" s="20" t="str">
        <x:v>Y722</x:v>
      </x:c>
      <x:c r="B428" s="20" t="str">
        <x:v>Leviathan</x:v>
      </x:c>
      <x:c r="C428" s="22" t="str">
        <x:v>9921491</x:v>
      </x:c>
      <x:c r="D428" s="4" t="str">
        <x:v>Propulsion / energy systems</x:v>
      </x:c>
      <x:c r="E428" s="4" t="str">
        <x:v>Diesel-electric</x:v>
      </x:c>
      <x:c r="F428" s="4" t="str"/>
      <x:c r="G428" s="4" t="str">
        <x:v>Published specification; not certificate-verified</x:v>
      </x:c>
      <x:c r="H428" s="4" t="str"/>
      <x:c r="I428" s="4" t="str">
        <x:v>LAT722</x:v>
      </x:c>
      <x:c r="J428" s="4" t="str">
        <x:v>https://www.lateral.engineering/projects/leviathan/</x:v>
      </x:c>
      <x:c r="K428" s="28" t="n">
        <x:v>46290</x:v>
      </x:c>
    </x:row>
    <x:row r="429" ht="69" customHeight="1">
      <x:c r="A429" s="20" t="str">
        <x:v>Y722</x:v>
      </x:c>
      <x:c r="B429" s="20" t="str">
        <x:v>Leviathan</x:v>
      </x:c>
      <x:c r="C429" s="22" t="str">
        <x:v>9921491</x:v>
      </x:c>
      <x:c r="D429" s="4" t="str">
        <x:v>Selected publicly described features</x:v>
      </x:c>
      <x:c r="E429" s="4" t="str">
        <x:v>Scientific and dive operations; medical facilities</x:v>
      </x:c>
      <x:c r="F429" s="4" t="str"/>
      <x:c r="G429" s="4" t="str">
        <x:v>Published specification; not certificate-verified</x:v>
      </x:c>
      <x:c r="H429" s="4" t="str"/>
      <x:c r="I429" s="4" t="str">
        <x:v>B722</x:v>
      </x:c>
      <x:c r="J429" s="4" t="str">
        <x:v>https://www.oceancoyacht.com/fleet/leviathan/</x:v>
      </x:c>
      <x:c r="K429" s="28" t="n">
        <x:v>46290</x:v>
      </x:c>
    </x:row>
    <x:row r="430" ht="69" customHeight="1">
      <x:c r="A430" s="20" t="str">
        <x:v>Y726</x:v>
      </x:c>
      <x:c r="B430" s="20" t="str">
        <x:v>DreAMBoat</x:v>
      </x:c>
      <x:c r="C430" s="22" t="str">
        <x:v>9967093</x:v>
      </x:c>
      <x:c r="D430" s="4" t="str">
        <x:v>Yard code</x:v>
      </x:c>
      <x:c r="E430" s="4" t="str">
        <x:v>Y726</x:v>
      </x:c>
      <x:c r="F430" s="4" t="str"/>
      <x:c r="G430" s="4" t="str">
        <x:v>Public build-to-vessel cross-reference</x:v>
      </x:c>
      <x:c r="H430" s="4" t="str">
        <x:v>No builder certificate inspected.</x:v>
      </x:c>
      <x:c r="I430" s="4" t="str">
        <x:v>LAT726</x:v>
      </x:c>
      <x:c r="J430" s="4" t="str">
        <x:v>https://www.lateral.engineering/projects/y726-364ft/</x:v>
      </x:c>
      <x:c r="K430" s="28" t="n">
        <x:v>46290</x:v>
      </x:c>
    </x:row>
    <x:row r="431" ht="69" customHeight="1">
      <x:c r="A431" s="20" t="str">
        <x:v>Y726</x:v>
      </x:c>
      <x:c r="B431" s="20" t="str">
        <x:v>DreAMBoat</x:v>
      </x:c>
      <x:c r="C431" s="22" t="str">
        <x:v>9967093</x:v>
      </x:c>
      <x:c r="D431" s="4" t="str">
        <x:v>Current published name</x:v>
      </x:c>
      <x:c r="E431" s="4" t="str">
        <x:v>DreAMBoat</x:v>
      </x:c>
      <x:c r="F431" s="4" t="str"/>
      <x:c r="G431" s="4" t="str">
        <x:v>Builder fleet publication</x:v>
      </x:c>
      <x:c r="H431" s="4" t="str">
        <x:v>Name may change after retrieval.</x:v>
      </x:c>
      <x:c r="I431" s="4" t="str">
        <x:v>B726</x:v>
      </x:c>
      <x:c r="J431" s="4" t="str">
        <x:v>https://www.oceancoyacht.com/fleet/dreamboat/</x:v>
      </x:c>
      <x:c r="K431" s="28" t="n">
        <x:v>46290</x:v>
      </x:c>
    </x:row>
    <x:row r="432" ht="69" customHeight="1">
      <x:c r="A432" s="20" t="str">
        <x:v>Y726</x:v>
      </x:c>
      <x:c r="B432" s="20" t="str">
        <x:v>DreAMBoat</x:v>
      </x:c>
      <x:c r="C432" s="22" t="str">
        <x:v>9967093</x:v>
      </x:c>
      <x:c r="D432" s="4" t="str">
        <x:v>Former names / aliases</x:v>
      </x:c>
      <x:c r="E432" s="4" t="str">
        <x:v>Database build alias: ALBLASSERDAM726</x:v>
      </x:c>
      <x:c r="F432" s="4" t="str"/>
      <x:c r="G432" s="4" t="str">
        <x:v>Published name history / alias</x:v>
      </x:c>
      <x:c r="H432" s="4" t="str">
        <x:v>Not a certified complete sequence; dates not inferred.</x:v>
      </x:c>
      <x:c r="I432" s="4" t="str">
        <x:v>V726</x:v>
      </x:c>
      <x:c r="J432" s="4" t="str">
        <x:v>https://www.vesselfinder.com/vessels/details/9967093</x:v>
      </x:c>
      <x:c r="K432" s="28" t="n">
        <x:v>46290</x:v>
      </x:c>
    </x:row>
    <x:row r="433" ht="69" customHeight="1">
      <x:c r="A433" s="20" t="str">
        <x:v>Y726</x:v>
      </x:c>
      <x:c r="B433" s="20" t="str">
        <x:v>DreAMBoat</x:v>
      </x:c>
      <x:c r="C433" s="22" t="str">
        <x:v>9967093</x:v>
      </x:c>
      <x:c r="D433" s="4" t="str">
        <x:v>Delivered</x:v>
      </x:c>
      <x:c r="E433" s="4" t="n">
        <x:v>2025</x:v>
      </x:c>
      <x:c r="F433" s="4" t="str">
        <x:v>year</x:v>
      </x:c>
      <x:c r="G433" s="4" t="str">
        <x:v>Builder delivery year</x:v>
      </x:c>
      <x:c r="H433" s="4" t="str">
        <x:v>Do not equate with keel-laying or launch year.</x:v>
      </x:c>
      <x:c r="I433" s="4" t="str">
        <x:v>B726</x:v>
      </x:c>
      <x:c r="J433" s="4" t="str">
        <x:v>https://www.oceancoyacht.com/fleet/dreamboat/</x:v>
      </x:c>
      <x:c r="K433" s="28" t="n">
        <x:v>46290</x:v>
      </x:c>
    </x:row>
    <x:row r="434" ht="69" customHeight="1">
      <x:c r="A434" s="20" t="str">
        <x:v>Y726</x:v>
      </x:c>
      <x:c r="B434" s="20" t="str">
        <x:v>DreAMBoat</x:v>
      </x:c>
      <x:c r="C434" s="22" t="str">
        <x:v>9967093</x:v>
      </x:c>
      <x:c r="D434" s="4" t="str">
        <x:v>IMO</x:v>
      </x:c>
      <x:c r="E434" s="4" t="str">
        <x:v>9967093</x:v>
      </x:c>
      <x:c r="F434" s="4" t="str"/>
      <x:c r="G434" s="4" t="str">
        <x:v>Database static vessel particulars</x:v>
      </x:c>
      <x:c r="H434" s="4" t="str">
        <x:v>Checksum passed; checksum does not independently confirm identity.</x:v>
      </x:c>
      <x:c r="I434" s="4" t="str">
        <x:v>V726</x:v>
      </x:c>
      <x:c r="J434" s="4" t="str">
        <x:v>https://www.vesselfinder.com/vessels/details/9967093</x:v>
      </x:c>
      <x:c r="K434" s="28" t="n">
        <x:v>46290</x:v>
      </x:c>
    </x:row>
    <x:row r="435" ht="69" customHeight="1">
      <x:c r="A435" s="20" t="str">
        <x:v>Y726</x:v>
      </x:c>
      <x:c r="B435" s="20" t="str">
        <x:v>DreAMBoat</x:v>
      </x:c>
      <x:c r="C435" s="22" t="str">
        <x:v>9967093</x:v>
      </x:c>
      <x:c r="D435" s="4" t="str">
        <x:v>MMSI</x:v>
      </x:c>
      <x:c r="E435" s="4" t="str">
        <x:v>319305800</x:v>
      </x:c>
      <x:c r="F435" s="4" t="str"/>
      <x:c r="G435" s="4" t="str">
        <x:v>Published radio identity</x:v>
      </x:c>
      <x:c r="H435" s="4" t="str">
        <x:v>Published database identity; current registry/radio licence not inspected.</x:v>
      </x:c>
      <x:c r="I435" s="4" t="str">
        <x:v>V726</x:v>
      </x:c>
      <x:c r="J435" s="4" t="str">
        <x:v>https://www.vesselfinder.com/vessels/details/9967093</x:v>
      </x:c>
      <x:c r="K435" s="28" t="n">
        <x:v>46290</x:v>
      </x:c>
    </x:row>
    <x:row r="436" ht="69" customHeight="1">
      <x:c r="A436" s="20" t="str">
        <x:v>Y726</x:v>
      </x:c>
      <x:c r="B436" s="20" t="str">
        <x:v>DreAMBoat</x:v>
      </x:c>
      <x:c r="C436" s="22" t="str">
        <x:v>9967093</x:v>
      </x:c>
      <x:c r="D436" s="4" t="str">
        <x:v>Call sign</x:v>
      </x:c>
      <x:c r="E436" s="4" t="str">
        <x:v>ZGRP2</x:v>
      </x:c>
      <x:c r="F436" s="4" t="str"/>
      <x:c r="G436" s="4" t="str">
        <x:v>Published radio identity</x:v>
      </x:c>
      <x:c r="H436" s="4" t="str">
        <x:v>Published database identity; current registry/radio licence not inspected.</x:v>
      </x:c>
      <x:c r="I436" s="4" t="str">
        <x:v>V726</x:v>
      </x:c>
      <x:c r="J436" s="4" t="str">
        <x:v>https://www.vesselfinder.com/vessels/details/9967093</x:v>
      </x:c>
      <x:c r="K436" s="28" t="n">
        <x:v>46290</x:v>
      </x:c>
    </x:row>
    <x:row r="437" ht="69" customHeight="1">
      <x:c r="A437" s="20" t="str">
        <x:v>Y726</x:v>
      </x:c>
      <x:c r="B437" s="20" t="str">
        <x:v>DreAMBoat</x:v>
      </x:c>
      <x:c r="C437" s="22" t="str">
        <x:v>9967093</x:v>
      </x:c>
      <x:c r="D437" s="4" t="str">
        <x:v>Flag</x:v>
      </x:c>
      <x:c r="E437" s="4" t="str">
        <x:v>Cayman Islands</x:v>
      </x:c>
      <x:c r="F437" s="4" t="str"/>
      <x:c r="G437" s="4" t="str">
        <x:v>Published flag / AIS identity</x:v>
      </x:c>
      <x:c r="H437" s="4" t="str">
        <x:v>Published database identity; current registry/radio licence not inspected.</x:v>
      </x:c>
      <x:c r="I437" s="4" t="str">
        <x:v>V726</x:v>
      </x:c>
      <x:c r="J437" s="4" t="str">
        <x:v>https://www.vesselfinder.com/vessels/details/9967093</x:v>
      </x:c>
      <x:c r="K437" s="28" t="n">
        <x:v>46290</x:v>
      </x:c>
    </x:row>
    <x:row r="438" ht="69" customHeight="1">
      <x:c r="A438" s="20" t="str">
        <x:v>Y726</x:v>
      </x:c>
      <x:c r="B438" s="20" t="str">
        <x:v>DreAMBoat</x:v>
      </x:c>
      <x:c r="C438" s="22" t="str">
        <x:v>9967093</x:v>
      </x:c>
      <x:c r="D438" s="4" t="str">
        <x:v>Preferred published LOA</x:v>
      </x:c>
      <x:c r="E438" s="4" t="n">
        <x:v>111</x:v>
      </x:c>
      <x:c r="F438" s="4" t="str">
        <x:v>m</x:v>
      </x:c>
      <x:c r="G438" s="4" t="str">
        <x:v>Builder published overall length</x:v>
      </x:c>
      <x:c r="H438" s="4" t="str">
        <x:v>Not independently measured or certificate-verified.</x:v>
      </x:c>
      <x:c r="I438" s="4" t="str">
        <x:v>B726</x:v>
      </x:c>
      <x:c r="J438" s="4" t="str">
        <x:v>https://www.oceancoyacht.com/fleet/dreamboat/</x:v>
      </x:c>
      <x:c r="K438" s="28" t="n">
        <x:v>46290</x:v>
      </x:c>
    </x:row>
    <x:row r="439" ht="69" customHeight="1">
      <x:c r="A439" s="20" t="str">
        <x:v>Y726</x:v>
      </x:c>
      <x:c r="B439" s="20" t="str">
        <x:v>DreAMBoat</x:v>
      </x:c>
      <x:c r="C439" s="22" t="str">
        <x:v>9967093</x:v>
      </x:c>
      <x:c r="D439" s="4" t="str">
        <x:v>Preferred published beam</x:v>
      </x:c>
      <x:c r="E439" s="4" t="n">
        <x:v>16</x:v>
      </x:c>
      <x:c r="F439" s="4" t="str">
        <x:v>m</x:v>
      </x:c>
      <x:c r="G439" s="4" t="str">
        <x:v>Builder published overall beam</x:v>
      </x:c>
      <x:c r="H439" s="4" t="str">
        <x:v>Not moulded breadth unless source explicitly says so.</x:v>
      </x:c>
      <x:c r="I439" s="4" t="str">
        <x:v>B726</x:v>
      </x:c>
      <x:c r="J439" s="4" t="str">
        <x:v>https://www.oceancoyacht.com/fleet/dreamboat/</x:v>
      </x:c>
      <x:c r="K439" s="28" t="n">
        <x:v>46290</x:v>
      </x:c>
    </x:row>
    <x:row r="440" ht="69" customHeight="1">
      <x:c r="A440" s="20" t="str">
        <x:v>Y726</x:v>
      </x:c>
      <x:c r="B440" s="20" t="str">
        <x:v>DreAMBoat</x:v>
      </x:c>
      <x:c r="C440" s="22" t="str">
        <x:v>9967093</x:v>
      </x:c>
      <x:c r="D440" s="4" t="str">
        <x:v>Working gross tonnage</x:v>
      </x:c>
      <x:c r="E440" s="4" t="n">
        <x:v>4550</x:v>
      </x:c>
      <x:c r="F440" s="4" t="str">
        <x:v>GT</x:v>
      </x:c>
      <x:c r="G440" s="4" t="str">
        <x:v>Builder published GT</x:v>
      </x:c>
      <x:c r="H440" s="4" t="str">
        <x:v>Builder/Lateral 4550GT vs database 4525GT; builder LOA 111m vs database 110m. Not SHODAN/Y716.</x:v>
      </x:c>
      <x:c r="I440" s="4" t="str">
        <x:v>B726</x:v>
      </x:c>
      <x:c r="J440" s="4" t="str">
        <x:v>https://www.oceancoyacht.com/fleet/dreamboat/</x:v>
      </x:c>
      <x:c r="K440" s="28" t="n">
        <x:v>46290</x:v>
      </x:c>
    </x:row>
    <x:row r="441" ht="69" customHeight="1">
      <x:c r="A441" s="20" t="str">
        <x:v>Y726</x:v>
      </x:c>
      <x:c r="B441" s="20" t="str">
        <x:v>DreAMBoat</x:v>
      </x:c>
      <x:c r="C441" s="22" t="str">
        <x:v>9967093</x:v>
      </x:c>
      <x:c r="D441" s="4" t="str">
        <x:v>Database static LOA</x:v>
      </x:c>
      <x:c r="E441" s="4" t="n">
        <x:v>110</x:v>
      </x:c>
      <x:c r="F441" s="4" t="str">
        <x:v>m</x:v>
      </x:c>
      <x:c r="G441" s="4" t="str">
        <x:v>Database static specification, not AIS dimensions</x:v>
      </x:c>
      <x:c r="H441" s="4" t="str">
        <x:v>Builder/Lateral 4550GT vs database 4525GT; builder LOA 111m vs database 110m. Not SHODAN/Y716.</x:v>
      </x:c>
      <x:c r="I441" s="4" t="str">
        <x:v>V726</x:v>
      </x:c>
      <x:c r="J441" s="4" t="str">
        <x:v>https://www.vesselfinder.com/vessels/details/9967093</x:v>
      </x:c>
      <x:c r="K441" s="28" t="n">
        <x:v>46290</x:v>
      </x:c>
    </x:row>
    <x:row r="442" ht="69" customHeight="1">
      <x:c r="A442" s="20" t="str">
        <x:v>Y726</x:v>
      </x:c>
      <x:c r="B442" s="20" t="str">
        <x:v>DreAMBoat</x:v>
      </x:c>
      <x:c r="C442" s="22" t="str">
        <x:v>9967093</x:v>
      </x:c>
      <x:c r="D442" s="4" t="str">
        <x:v>Database static beam</x:v>
      </x:c>
      <x:c r="E442" s="4" t="n">
        <x:v>16</x:v>
      </x:c>
      <x:c r="F442" s="4" t="str">
        <x:v>m</x:v>
      </x:c>
      <x:c r="G442" s="4" t="str">
        <x:v>Database static specification, not AIS dimensions</x:v>
      </x:c>
      <x:c r="H442" s="4" t="str">
        <x:v>Builder/Lateral 4550GT vs database 4525GT; builder LOA 111m vs database 110m. Not SHODAN/Y716.</x:v>
      </x:c>
      <x:c r="I442" s="4" t="str">
        <x:v>V726</x:v>
      </x:c>
      <x:c r="J442" s="4" t="str">
        <x:v>https://www.vesselfinder.com/vessels/details/9967093</x:v>
      </x:c>
      <x:c r="K442" s="28" t="n">
        <x:v>46290</x:v>
      </x:c>
    </x:row>
    <x:row r="443" ht="69" customHeight="1">
      <x:c r="A443" s="20" t="str">
        <x:v>Y726</x:v>
      </x:c>
      <x:c r="B443" s="20" t="str">
        <x:v>DreAMBoat</x:v>
      </x:c>
      <x:c r="C443" s="22" t="str">
        <x:v>9967093</x:v>
      </x:c>
      <x:c r="D443" s="4" t="str">
        <x:v>Database static GT</x:v>
      </x:c>
      <x:c r="E443" s="4" t="n">
        <x:v>4525</x:v>
      </x:c>
      <x:c r="F443" s="4" t="str">
        <x:v>GT</x:v>
      </x:c>
      <x:c r="G443" s="4" t="str">
        <x:v>Database static specification</x:v>
      </x:c>
      <x:c r="H443" s="4" t="str">
        <x:v>Not a current International Tonnage Certificate.</x:v>
      </x:c>
      <x:c r="I443" s="4" t="str">
        <x:v>V726</x:v>
      </x:c>
      <x:c r="J443" s="4" t="str">
        <x:v>https://www.vesselfinder.com/vessels/details/9967093</x:v>
      </x:c>
      <x:c r="K443" s="28" t="n">
        <x:v>46290</x:v>
      </x:c>
    </x:row>
    <x:row r="444" ht="69" customHeight="1">
      <x:c r="A444" s="20" t="str">
        <x:v>Y726</x:v>
      </x:c>
      <x:c r="B444" s="20" t="str">
        <x:v>DreAMBoat</x:v>
      </x:c>
      <x:c r="C444" s="22" t="str">
        <x:v>9967093</x:v>
      </x:c>
      <x:c r="D444" s="4" t="str">
        <x:v>Database build year</x:v>
      </x:c>
      <x:c r="E444" s="4" t="n">
        <x:v>2025</x:v>
      </x:c>
      <x:c r="F444" s="4" t="str">
        <x:v>year</x:v>
      </x:c>
      <x:c r="G444" s="4" t="str">
        <x:v>Explicitly captured database build year</x:v>
      </x:c>
      <x:c r="H444" s="4" t="str">
        <x:v>May differ from delivery.</x:v>
      </x:c>
      <x:c r="I444" s="4" t="str">
        <x:v>V726</x:v>
      </x:c>
      <x:c r="J444" s="4" t="str">
        <x:v>https://www.vesselfinder.com/vessels/details/9967093</x:v>
      </x:c>
      <x:c r="K444" s="28" t="n">
        <x:v>46290</x:v>
      </x:c>
    </x:row>
    <x:row r="445" ht="69" customHeight="1">
      <x:c r="A445" s="20" t="str">
        <x:v>Y726</x:v>
      </x:c>
      <x:c r="B445" s="20" t="str">
        <x:v>DreAMBoat</x:v>
      </x:c>
      <x:c r="C445" s="22" t="str">
        <x:v>9967093</x:v>
      </x:c>
      <x:c r="D445" s="4" t="str">
        <x:v>Naval architecture / engineering</x:v>
      </x:c>
      <x:c r="E445" s="4" t="str">
        <x:v>Lateral; Oceanco</x:v>
      </x:c>
      <x:c r="F445" s="4" t="str"/>
      <x:c r="G445" s="4" t="str">
        <x:v>Naval-architect project credit</x:v>
      </x:c>
      <x:c r="H445" s="4" t="str"/>
      <x:c r="I445" s="4" t="str">
        <x:v>LAT726</x:v>
      </x:c>
      <x:c r="J445" s="4" t="str">
        <x:v>https://www.lateral.engineering/projects/y726-364ft/</x:v>
      </x:c>
      <x:c r="K445" s="28" t="n">
        <x:v>46290</x:v>
      </x:c>
    </x:row>
    <x:row r="446" ht="69" customHeight="1">
      <x:c r="A446" s="20" t="str">
        <x:v>Y726</x:v>
      </x:c>
      <x:c r="B446" s="20" t="str">
        <x:v>DreAMBoat</x:v>
      </x:c>
      <x:c r="C446" s="22" t="str">
        <x:v>9967093</x:v>
      </x:c>
      <x:c r="D446" s="4" t="str">
        <x:v>Exterior design</x:v>
      </x:c>
      <x:c r="E446" s="4" t="str">
        <x:v>Espen Øino</x:v>
      </x:c>
      <x:c r="F446" s="4" t="str"/>
      <x:c r="G446" s="4" t="str">
        <x:v>Builder design credit; original build unless expressly noted</x:v>
      </x:c>
      <x:c r="H446" s="4" t="str"/>
      <x:c r="I446" s="4" t="str">
        <x:v>B726</x:v>
      </x:c>
      <x:c r="J446" s="4" t="str">
        <x:v>https://www.oceancoyacht.com/fleet/dreamboat/</x:v>
      </x:c>
      <x:c r="K446" s="28" t="n">
        <x:v>46290</x:v>
      </x:c>
    </x:row>
    <x:row r="447" ht="69" customHeight="1">
      <x:c r="A447" s="20" t="str">
        <x:v>Y726</x:v>
      </x:c>
      <x:c r="B447" s="20" t="str">
        <x:v>DreAMBoat</x:v>
      </x:c>
      <x:c r="C447" s="22" t="str">
        <x:v>9967093</x:v>
      </x:c>
      <x:c r="D447" s="4" t="str">
        <x:v>Interior design</x:v>
      </x:c>
      <x:c r="E447" s="4" t="str">
        <x:v>Mark Berryman</x:v>
      </x:c>
      <x:c r="F447" s="4" t="str"/>
      <x:c r="G447" s="4" t="str">
        <x:v>Builder design credit; may not describe later refit</x:v>
      </x:c>
      <x:c r="H447" s="4" t="str"/>
      <x:c r="I447" s="4" t="str">
        <x:v>B726</x:v>
      </x:c>
      <x:c r="J447" s="4" t="str">
        <x:v>https://www.oceancoyacht.com/fleet/dreamboat/</x:v>
      </x:c>
      <x:c r="K447" s="28" t="n">
        <x:v>46290</x:v>
      </x:c>
    </x:row>
    <x:row r="448" ht="69" customHeight="1">
      <x:c r="A448" s="20" t="str">
        <x:v>Y726</x:v>
      </x:c>
      <x:c r="B448" s="20" t="str">
        <x:v>DreAMBoat</x:v>
      </x:c>
      <x:c r="C448" s="22" t="str">
        <x:v>9967093</x:v>
      </x:c>
      <x:c r="D448" s="4" t="str">
        <x:v>Propulsion / energy systems</x:v>
      </x:c>
      <x:c r="E448" s="4" t="str">
        <x:v>Battery-supported energy / peak-load management</x:v>
      </x:c>
      <x:c r="F448" s="4" t="str"/>
      <x:c r="G448" s="4" t="str">
        <x:v>Published specification; not certificate-verified</x:v>
      </x:c>
      <x:c r="H448" s="4" t="str"/>
      <x:c r="I448" s="4" t="str">
        <x:v>B726</x:v>
      </x:c>
      <x:c r="J448" s="4" t="str">
        <x:v>https://www.oceancoyacht.com/fleet/dreamboat/</x:v>
      </x:c>
      <x:c r="K448" s="28" t="n">
        <x:v>46290</x:v>
      </x:c>
    </x:row>
  </x:sheetData>
  <x:mergeCells>
    <x:mergeCell ref="A1:K1"/>
    <x:mergeCell ref="A2:K2"/>
  </x:mergeCells>
  <x:pageMargins left="0.7" right="0.7" top="0.75" bottom="0.75" header="0.3" footer="0.3"/>
  <x:tableParts count="1">
    <x:tablePart xmlns:r="http://schemas.openxmlformats.org/officeDocument/2006/relationships" r:id="R0adee001e58c4875"/>
  </x:tableParts>
</x:worksheet>
</file>

<file path=xl/worksheets/sheet7.xml><?xml version="1.0" encoding="utf-8"?>
<x:worksheet xmlns:x="http://schemas.openxmlformats.org/spreadsheetml/2006/main">
  <x:sheetFormatPr defaultRowHeight="15"/>
  <x:cols>
    <x:col min="1" max="1" width="15" hidden="0" customWidth="1"/>
    <x:col min="2" max="2" width="27" hidden="0" customWidth="1"/>
    <x:col min="3" max="3" width="32" hidden="0" customWidth="1"/>
    <x:col min="4" max="4" width="32" hidden="0" customWidth="1"/>
    <x:col min="5" max="5" width="40" hidden="0" customWidth="1"/>
    <x:col min="6" max="6" width="40" hidden="0" customWidth="1"/>
    <x:col min="7" max="7" width="15" hidden="0" customWidth="1"/>
    <x:col min="8" max="8" width="40" hidden="0" customWidth="1"/>
  </x:cols>
  <x:sheetData>
    <x:row r="1" ht="38" customHeight="1">
      <x:c r="A1" s="9" t="str">
        <x:v>SOURCE INDEX  |  PRIMARY PUBLIC RECORDS &amp; DATABASES</x:v>
      </x:c>
      <x:c r="B1" s="9"/>
      <x:c r="C1" s="9"/>
      <x:c r="D1" s="9"/>
      <x:c r="E1" s="9"/>
      <x:c r="F1" s="9"/>
      <x:c r="G1" s="9"/>
      <x:c r="H1" s="9"/>
    </x:row>
    <x:row r="2" ht="36" customHeight="1">
      <x:c r="A2" s="12" t="str">
        <x:v>Builder / naval architect / project participant / broker publications and original vessel databases • URLs are plain text for reuse • public publication is not certificate verification</x:v>
      </x:c>
      <x:c r="B2" s="12"/>
      <x:c r="C2" s="12"/>
      <x:c r="D2" s="12"/>
      <x:c r="E2" s="12"/>
      <x:c r="F2" s="12"/>
      <x:c r="G2" s="12"/>
      <x:c r="H2" s="12"/>
    </x:row>
    <x:row r="3" ht="9" customHeight="1">
      <x:c r="A3" s="4"/>
      <x:c r="B3" s="4"/>
      <x:c r="C3" s="4"/>
      <x:c r="D3" s="4"/>
      <x:c r="E3" s="4"/>
      <x:c r="F3" s="4"/>
      <x:c r="G3" s="4"/>
      <x:c r="H3" s="4"/>
    </x:row>
    <x:row r="4" ht="36" customHeight="1">
      <x:c r="A4" s="16" t="str">
        <x:v>Source ID</x:v>
      </x:c>
      <x:c r="B4" s="16" t="str">
        <x:v>Publisher</x:v>
      </x:c>
      <x:c r="C4" s="16" t="str">
        <x:v>Source type</x:v>
      </x:c>
      <x:c r="D4" s="16" t="str">
        <x:v>Vessel / scope</x:v>
      </x:c>
      <x:c r="E4" s="16" t="str">
        <x:v>Fields supported</x:v>
      </x:c>
      <x:c r="F4" s="16" t="str">
        <x:v>Source URL</x:v>
      </x:c>
      <x:c r="G4" s="16" t="str">
        <x:v>Access date</x:v>
      </x:c>
      <x:c r="H4" s="16" t="str">
        <x:v>Limitations / context</x:v>
      </x:c>
    </x:row>
    <x:row r="5" ht="82" customHeight="1">
      <x:c r="A5" s="20" t="str">
        <x:v>FLEET</x:v>
      </x:c>
      <x:c r="B5" s="20" t="str">
        <x:v>Oceanco</x:v>
      </x:c>
      <x:c r="C5" s="4" t="str">
        <x:v>Builder</x:v>
      </x:c>
      <x:c r="D5" s="4" t="str">
        <x:v>Fleet</x:v>
      </x:c>
      <x:c r="E5" s="4" t="str">
        <x:v>Fleet scope; current published names</x:v>
      </x:c>
      <x:c r="F5" s="4" t="str">
        <x:v>https://www.oceancoyacht.com/fleet/</x:v>
      </x:c>
      <x:c r="G5" s="28" t="n">
        <x:v>46290</x:v>
      </x:c>
      <x:c r="H5" s="4" t="str">
        <x:v>The current fleet includes pre-Y700 vessels too. This workbook filters to the identified Y7xx build family.</x:v>
      </x:c>
    </x:row>
    <x:row r="6" ht="82" customHeight="1">
      <x:c r="A6" s="20" t="str">
        <x:v>FLEET2</x:v>
      </x:c>
      <x:c r="B6" s="20" t="str">
        <x:v>Oceanco</x:v>
      </x:c>
      <x:c r="C6" s="4" t="str">
        <x:v>Builder</x:v>
      </x:c>
      <x:c r="D6" s="4" t="str">
        <x:v>Fleet / page 2</x:v>
      </x:c>
      <x:c r="E6" s="4" t="str">
        <x:v>Man of Steel: name, length and delivery year</x:v>
      </x:c>
      <x:c r="F6" s="4" t="str">
        <x:v>https://www.oceancoyacht.com/fleet/?pag=2</x:v>
      </x:c>
      <x:c r="G6" s="28" t="n">
        <x:v>46290</x:v>
      </x:c>
      <x:c r="H6" s="4" t="str">
        <x:v>Individual Man of Steel detail page was not retrievable; beam retained from vessel database.</x:v>
      </x:c>
    </x:row>
    <x:row r="7" ht="82" customHeight="1">
      <x:c r="A7" s="20" t="str">
        <x:v>TC</x:v>
      </x:c>
      <x:c r="B7" s="20" t="str">
        <x:v>Tech Consul</x:v>
      </x:c>
      <x:c r="C7" s="4" t="str">
        <x:v>Project participant</x:v>
      </x:c>
      <x:c r="D7" s="4" t="str">
        <x:v>Y710 / Y711 / Y714 / Y717 / Y721</x:v>
      </x:c>
      <x:c r="E7" s="4" t="str">
        <x:v>Yard code and vessel cross-reference</x:v>
      </x:c>
      <x:c r="F7" s="4" t="str">
        <x:v>https://tech-consul.nl/projects</x:v>
      </x:c>
      <x:c r="G7" s="28" t="n">
        <x:v>46290</x:v>
      </x:c>
      <x:c r="H7" s="4" t="str">
        <x:v>Indexed project portfolio used for yard-code mapping only; rounded project lengths are not preferred dimensions.</x:v>
      </x:c>
    </x:row>
    <x:row r="8" ht="82" customHeight="1">
      <x:c r="A8" s="20" t="str">
        <x:v>PRO</x:v>
      </x:c>
      <x:c r="B8" s="20" t="str">
        <x:v>Proyacht</x:v>
      </x:c>
      <x:c r="C8" s="4" t="str">
        <x:v>Refit contractor</x:v>
      </x:c>
      <x:c r="D8" s="4" t="str">
        <x:v>Y709 / Y719</x:v>
      </x:c>
      <x:c r="E8" s="4" t="str">
        <x:v>Yard codes; Draak/Tranquility and Infinity cross-reference</x:v>
      </x:c>
      <x:c r="F8" s="4" t="str">
        <x:v>https://www.proyacht.nl/custom-yacht-refit-portfolio/</x:v>
      </x:c>
      <x:c r="G8" s="28" t="n">
        <x:v>46290</x:v>
      </x:c>
      <x:c r="H8" s="4" t="str">
        <x:v>Indexed portfolio identifies Y709 and Y719. Historical 91.5m Draak dimension is not the current builder LOA.</x:v>
      </x:c>
    </x:row>
    <x:row r="9" ht="82" customHeight="1">
      <x:c r="A9" s="20" t="str">
        <x:v>DRAAK26</x:v>
      </x:c>
      <x:c r="B9" s="20" t="str">
        <x:v>Oceanco</x:v>
      </x:c>
      <x:c r="C9" s="4" t="str">
        <x:v>Builder</x:v>
      </x:c>
      <x:c r="D9" s="4" t="str">
        <x:v>Draak / Leviathan</x:v>
      </x:c>
      <x:c r="E9" s="4" t="str">
        <x:v>Draak June 2026 rebuild and new operational facilities</x:v>
      </x:c>
      <x:c r="F9" s="4" t="str">
        <x:v>https://www.oceancoyacht.com/leviathan-and-draak-at-the-2026-monaco-yacht-show/</x:v>
      </x:c>
      <x:c r="G9" s="28" t="n">
        <x:v>46290</x:v>
      </x:c>
      <x:c r="H9" s="4" t="str">
        <x:v>Published 4 August 2026; current tonnage certificate was not supplied.</x:v>
      </x:c>
    </x:row>
    <x:row r="10" ht="82" customHeight="1">
      <x:c r="A10" s="20" t="str">
        <x:v>Y701</x:v>
      </x:c>
      <x:c r="B10" s="20" t="str">
        <x:v>IYC</x:v>
      </x:c>
      <x:c r="C10" s="4" t="str">
        <x:v>Charter broker</x:v>
      </x:c>
      <x:c r="D10" s="4" t="str">
        <x:v>Batello</x:v>
      </x:c>
      <x:c r="E10" s="4" t="str">
        <x:v>Y701; refit, accommodation, performance, materials</x:v>
      </x:c>
      <x:c r="F10" s="4" t="str">
        <x:v>https://iyc.com/charter/batello/</x:v>
      </x:c>
      <x:c r="G10" s="28" t="n">
        <x:v>46290</x:v>
      </x:c>
      <x:c r="H10" s="4" t="str">
        <x:v>Published top speed is inconsistent within page: 20kn specifications / 19kn narrative.</x:v>
      </x:c>
    </x:row>
    <x:row r="11" ht="82" customHeight="1">
      <x:c r="A11" s="20" t="str">
        <x:v>Y702</x:v>
      </x:c>
      <x:c r="B11" s="20" t="str">
        <x:v>Fraser listing / YachtFocus</x:v>
      </x:c>
      <x:c r="C11" s="4" t="str">
        <x:v>Broker listing on marketplace</x:v>
      </x:c>
      <x:c r="D11" s="4" t="str">
        <x:v>Alfa Nero</x:v>
      </x:c>
      <x:c r="E11" s="4" t="str">
        <x:v>Y702 model / Alfa Nero name</x:v>
      </x:c>
      <x:c r="F11" s="4" t="str">
        <x:v>https://www.yachtfocus.com/it/barca/2007-oceanco-y702-10043681/</x:v>
      </x:c>
      <x:c r="G11" s="28" t="n">
        <x:v>46290</x:v>
      </x:c>
      <x:c r="H11" s="4" t="str">
        <x:v>Broker listing is used for yard-code cross-reference, not current statutory registration.</x:v>
      </x:c>
    </x:row>
    <x:row r="12" ht="82" customHeight="1">
      <x:c r="A12" s="20" t="str">
        <x:v>Y703</x:v>
      </x:c>
      <x:c r="B12" s="20" t="str">
        <x:v>ShipSpotting</x:v>
      </x:c>
      <x:c r="C12" s="4" t="str">
        <x:v>First-hand construction photograph</x:v>
      </x:c>
      <x:c r="D12" s="4" t="str">
        <x:v>Wheels / Anastasia</x:v>
      </x:c>
      <x:c r="E12" s="4" t="str">
        <x:v>Y703 linked to IMO 1009388</x:v>
      </x:c>
      <x:c r="F12" s="4" t="str">
        <x:v>https://www.shipspotting.com/photos/324611</x:v>
      </x:c>
      <x:c r="G12" s="28" t="n">
        <x:v>46290</x:v>
      </x:c>
      <x:c r="H12" s="4" t="str">
        <x:v>Historical photo metadata; do not use its flag or radio identifiers as current.</x:v>
      </x:c>
    </x:row>
    <x:row r="13" ht="82" customHeight="1">
      <x:c r="A13" s="20" t="str">
        <x:v>Y704</x:v>
      </x:c>
      <x:c r="B13" s="20" t="str">
        <x:v>ShipSpotting</x:v>
      </x:c>
      <x:c r="C13" s="4" t="str">
        <x:v>First-hand construction photograph</x:v>
      </x:c>
      <x:c r="D13" s="4" t="str">
        <x:v>Vibrant Curiosity</x:v>
      </x:c>
      <x:c r="E13" s="4" t="str">
        <x:v>Y704 linked to IMO 1010002</x:v>
      </x:c>
      <x:c r="F13" s="4" t="str">
        <x:v>https://www.shipspotting.com/photos/458681</x:v>
      </x:c>
      <x:c r="G13" s="28" t="n">
        <x:v>46290</x:v>
      </x:c>
      <x:c r="H13" s="4" t="str">
        <x:v>Historical photo metadata; current radio identifiers come from separate database sources.</x:v>
      </x:c>
    </x:row>
    <x:row r="14" ht="82" customHeight="1">
      <x:c r="A14" s="20" t="str">
        <x:v>Y705</x:v>
      </x:c>
      <x:c r="B14" s="20" t="str">
        <x:v>ShipSpotting</x:v>
      </x:c>
      <x:c r="C14" s="4" t="str">
        <x:v>First-hand vessel photograph</x:v>
      </x:c>
      <x:c r="D14" s="4" t="str">
        <x:v>Sunrays</x:v>
      </x:c>
      <x:c r="E14" s="4" t="str">
        <x:v>Y705 / Sunrays cross-reference</x:v>
      </x:c>
      <x:c r="F14" s="4" t="str">
        <x:v>https://www.shipspotting.com/photos/2927955</x:v>
      </x:c>
      <x:c r="G14" s="28" t="n">
        <x:v>46290</x:v>
      </x:c>
      <x:c r="H14" s="4" t="str"/>
    </x:row>
    <x:row r="15" ht="82" customHeight="1">
      <x:c r="A15" s="20" t="str">
        <x:v>Y706</x:v>
      </x:c>
      <x:c r="B15" s="20" t="str">
        <x:v>Sand People / Hodgdon</x:v>
      </x:c>
      <x:c r="C15" s="4" t="str">
        <x:v>Supplier press release</x:v>
      </x:c>
      <x:c r="D15" s="4" t="str">
        <x:v>Man of Steel / Seven Seas 86m</x:v>
      </x:c>
      <x:c r="E15" s="4" t="str">
        <x:v>Y706 / original Seven Seas cross-reference</x:v>
      </x:c>
      <x:c r="F15" s="4" t="str">
        <x:v>https://sandpeoplecommunication.wordpress.com/tag/tender/page/2/</x:v>
      </x:c>
      <x:c r="G15" s="28" t="n">
        <x:v>46290</x:v>
      </x:c>
      <x:c r="H15" s="4" t="str">
        <x:v>Hodgdon tender-supplier release explicitly identifies Oceanco Y706 as M/Y Seven Seas.</x:v>
      </x:c>
    </x:row>
    <x:row r="16" ht="82" customHeight="1">
      <x:c r="A16" s="20" t="str">
        <x:v>Y707</x:v>
      </x:c>
      <x:c r="B16" s="20" t="str">
        <x:v>ShipSpotting</x:v>
      </x:c>
      <x:c r="C16" s="4" t="str">
        <x:v>First-hand vessel photograph</x:v>
      </x:c>
      <x:c r="D16" s="4" t="str">
        <x:v>Nirvana</x:v>
      </x:c>
      <x:c r="E16" s="4" t="str">
        <x:v>Y707 / Nirvana cross-reference</x:v>
      </x:c>
      <x:c r="F16" s="4" t="str">
        <x:v>https://www.shipspotting.com/photos/1522215</x:v>
      </x:c>
      <x:c r="G16" s="28" t="n">
        <x:v>46290</x:v>
      </x:c>
      <x:c r="H16" s="4" t="str"/>
    </x:row>
    <x:row r="17" ht="82" customHeight="1">
      <x:c r="A17" s="20" t="str">
        <x:v>Y708</x:v>
      </x:c>
      <x:c r="B17" s="20" t="str">
        <x:v>CharterWorld</x:v>
      </x:c>
      <x:c r="C17" s="4" t="str">
        <x:v>Broker vessel profile</x:v>
      </x:c>
      <x:c r="D17" s="4" t="str">
        <x:v>Amore Vero / St. Princess Olga</x:v>
      </x:c>
      <x:c r="E17" s="4" t="str">
        <x:v>Y708; original identity and dimensions</x:v>
      </x:c>
      <x:c r="F17" s="4" t="str">
        <x:v>https://www.charterworld.com/index.html?charter=motor-yacht-y-6303&amp;sub=yacht-charter</x:v>
      </x:c>
      <x:c r="G17" s="28" t="n">
        <x:v>46290</x:v>
      </x:c>
      <x:c r="H17" s="4" t="str">
        <x:v>Historical broker profile; not a current registration certificate.</x:v>
      </x:c>
    </x:row>
    <x:row r="18" ht="82" customHeight="1">
      <x:c r="A18" s="20" t="str">
        <x:v>Y712</x:v>
      </x:c>
      <x:c r="B18" s="20" t="str">
        <x:v>MyShipTracking</x:v>
      </x:c>
      <x:c r="C18" s="4" t="str">
        <x:v>AIS database / historical</x:v>
      </x:c>
      <x:c r="D18" s="4" t="str">
        <x:v>Black Pearl</x:v>
      </x:c>
      <x:c r="E18" s="4" t="str">
        <x:v>OCEANCO Y712 linked to IMO 1012490</x:v>
      </x:c>
      <x:c r="F18" s="4" t="str">
        <x:v>https://www.myshiptracking.com/vessels/oceanco-y712-mmsi-244020868-imo-1012490</x:v>
      </x:c>
      <x:c r="G18" s="28" t="n">
        <x:v>46290</x:v>
      </x:c>
      <x:c r="H18" s="4" t="str">
        <x:v>Historical construction identity only. Old MMSI is not used in the current register.</x:v>
      </x:c>
    </x:row>
    <x:row r="19" ht="82" customHeight="1">
      <x:c r="A19" s="20" t="str">
        <x:v>Y715</x:v>
      </x:c>
      <x:c r="B19" s="20" t="str">
        <x:v>Sorgiovanni Interiors</x:v>
      </x:c>
      <x:c r="C19" s="4" t="str">
        <x:v>Designer</x:v>
      </x:c>
      <x:c r="D19" s="4" t="str">
        <x:v>Barbara</x:v>
      </x:c>
      <x:c r="E19" s="4" t="str">
        <x:v>Y715; original draft, performance, accommodation, materials</x:v>
      </x:c>
      <x:c r="F19" s="4" t="str">
        <x:v>https://www.sorgiovanniinteriors.com.au/barbara/</x:v>
      </x:c>
      <x:c r="G19" s="28" t="n">
        <x:v>46290</x:v>
      </x:c>
      <x:c r="H19" s="4" t="str">
        <x:v>As-built 2017 information; designer beam 14.2m differs from current Oceanco page 14.5m.</x:v>
      </x:c>
    </x:row>
    <x:row r="20" ht="82" customHeight="1">
      <x:c r="A20" s="20" t="str">
        <x:v>Y716</x:v>
      </x:c>
      <x:c r="B20" s="20" t="str">
        <x:v>ShipSpotting</x:v>
      </x:c>
      <x:c r="C20" s="4" t="str">
        <x:v>First-hand vessel photograph</x:v>
      </x:c>
      <x:c r="D20" s="4" t="str">
        <x:v>SHODAN / DreAMBoat 90m</x:v>
      </x:c>
      <x:c r="E20" s="4" t="str">
        <x:v>Y716 linked to IMO 1012919</x:v>
      </x:c>
      <x:c r="F20" s="4" t="str">
        <x:v>https://www.shipspotting.com/photos/3245295</x:v>
      </x:c>
      <x:c r="G20" s="28" t="n">
        <x:v>46290</x:v>
      </x:c>
      <x:c r="H20" s="4" t="str">
        <x:v>Original name DreAMBoat; not the 111m Y726.</x:v>
      </x:c>
    </x:row>
    <x:row r="21" ht="82" customHeight="1">
      <x:c r="A21" s="20" t="str">
        <x:v>Y718</x:v>
      </x:c>
      <x:c r="B21" s="20" t="str">
        <x:v>Dutch Yachting</x:v>
      </x:c>
      <x:c r="C21" s="4" t="str">
        <x:v>First-hand construction video</x:v>
      </x:c>
      <x:c r="D21" s="4" t="str">
        <x:v>Bravo Eugenia</x:v>
      </x:c>
      <x:c r="E21" s="4" t="str">
        <x:v>Y718 / Bravo Eugenia cross-reference</x:v>
      </x:c>
      <x:c r="F21" s="4" t="str">
        <x:v>https://www.youtube.com/watch?v=DD-N64-xotE</x:v>
      </x:c>
      <x:c r="G21" s="28" t="n">
        <x:v>46290</x:v>
      </x:c>
      <x:c r="H21" s="4" t="str"/>
    </x:row>
    <x:row r="22" ht="82" customHeight="1">
      <x:c r="A22" s="20" t="str">
        <x:v>Y720</x:v>
      </x:c>
      <x:c r="B22" s="20" t="str">
        <x:v>Dutch Yachting</x:v>
      </x:c>
      <x:c r="C22" s="4" t="str">
        <x:v>First-hand vessel photograph / post</x:v>
      </x:c>
      <x:c r="D22" s="4" t="str">
        <x:v>Seven Seas 109m</x:v>
      </x:c>
      <x:c r="E22" s="4" t="str">
        <x:v>Y720 / Seven Seas cross-reference</x:v>
      </x:c>
      <x:c r="F22" s="4" t="str">
        <x:v>https://www.facebook.com/dutchyachting/posts/the-109m-3576-seven-seas-y720-launched-on-11-march-2022-returned-to-oceancos-dry/553672826787162/</x:v>
      </x:c>
      <x:c r="G22" s="28" t="n">
        <x:v>46290</x:v>
      </x:c>
      <x:c r="H22" s="4" t="str">
        <x:v>Historical launch record; project delivery year is sourced separately from Oceanco.</x:v>
      </x:c>
    </x:row>
    <x:row r="23" ht="82" customHeight="1">
      <x:c r="A23" s="20" t="str">
        <x:v>LAT722</x:v>
      </x:c>
      <x:c r="B23" s="20" t="str">
        <x:v>Lateral Naval Architects</x:v>
      </x:c>
      <x:c r="C23" s="4" t="str">
        <x:v>Naval architect</x:v>
      </x:c>
      <x:c r="D23" s="4" t="str">
        <x:v>Leviathan / Y722</x:v>
      </x:c>
      <x:c r="E23" s="4" t="str">
        <x:v>Y722; dimensions, naval architecture and diesel-electric propulsion</x:v>
      </x:c>
      <x:c r="F23" s="4" t="str">
        <x:v>https://www.lateral.engineering/projects/leviathan/</x:v>
      </x:c>
      <x:c r="G23" s="28" t="n">
        <x:v>46290</x:v>
      </x:c>
      <x:c r="H23" s="4" t="str"/>
    </x:row>
    <x:row r="24" ht="82" customHeight="1">
      <x:c r="A24" s="20" t="str">
        <x:v>LAT726</x:v>
      </x:c>
      <x:c r="B24" s="20" t="str">
        <x:v>Lateral Naval Architects</x:v>
      </x:c>
      <x:c r="C24" s="4" t="str">
        <x:v>Naval architect</x:v>
      </x:c>
      <x:c r="D24" s="4" t="str">
        <x:v>DreAMBoat / Y726</x:v>
      </x:c>
      <x:c r="E24" s="4" t="str">
        <x:v>Y726; 111m, 16m, 4550GT; design team</x:v>
      </x:c>
      <x:c r="F24" s="4" t="str">
        <x:v>https://www.lateral.engineering/projects/y726-364ft/</x:v>
      </x:c>
      <x:c r="G24" s="28" t="n">
        <x:v>46290</x:v>
      </x:c>
      <x:c r="H24" s="4" t="str">
        <x:v>Project page originally written before delivery; delivered name/year come from Oceanco.</x:v>
      </x:c>
    </x:row>
    <x:row r="25" ht="82" customHeight="1">
      <x:c r="A25" s="20" t="str">
        <x:v>MT704</x:v>
      </x:c>
      <x:c r="B25" s="20" t="str">
        <x:v>MarineTraffic</x:v>
      </x:c>
      <x:c r="C25" s="4" t="str">
        <x:v>AIS database</x:v>
      </x:c>
      <x:c r="D25" s="4" t="str">
        <x:v>Vibrant Curiosity</x:v>
      </x:c>
      <x:c r="E25" s="4" t="str">
        <x:v>Current published call sign 9HA4898</x:v>
      </x:c>
      <x:c r="F25" s="4" t="str">
        <x:v>https://www.marinetraffic.com/es/ais/details/ships/shipid%3A194250/mmsi%3A235068366/imo%3A1010002/vessel%3AVIBRANT%20CURIOSITY</x:v>
      </x:c>
      <x:c r="G25" s="28" t="n">
        <x:v>46290</x:v>
      </x:c>
      <x:c r="H25" s="4" t="str">
        <x:v>Legacy MMSI in page URL is not the currently displayed MMSI. Match by IMO 1010002.</x:v>
      </x:c>
    </x:row>
    <x:row r="26" ht="82" customHeight="1">
      <x:c r="A26" s="20" t="str">
        <x:v>MP710</x:v>
      </x:c>
      <x:c r="B26" s="20" t="str">
        <x:v>MagicPort</x:v>
      </x:c>
      <x:c r="C26" s="4" t="str">
        <x:v>Vessel database</x:v>
      </x:c>
      <x:c r="D26" s="4" t="str">
        <x:v>Samsara</x:v>
      </x:c>
      <x:c r="E26" s="4" t="str">
        <x:v>MMSI 319068100; call sign ZGEC5; Cayman Islands</x:v>
      </x:c>
      <x:c r="F26" s="4" t="str">
        <x:v>https://magicport.ai/vessels/pleasure-craft/samsara-mmsi-319068100</x:v>
      </x:c>
      <x:c r="G26" s="28" t="n">
        <x:v>46290</x:v>
      </x:c>
      <x:c r="H26" s="4" t="str">
        <x:v>Used because VesselFinder did not expose a populated AIS identity header.</x:v>
      </x:c>
    </x:row>
    <x:row r="27" ht="82" customHeight="1">
      <x:c r="A27" s="20" t="str">
        <x:v>FR702</x:v>
      </x:c>
      <x:c r="B27" s="20" t="str">
        <x:v>Fraser</x:v>
      </x:c>
      <x:c r="C27" s="4" t="str">
        <x:v>Sales broker</x:v>
      </x:c>
      <x:c r="D27" s="4" t="str">
        <x:v>Alfa Nero</x:v>
      </x:c>
      <x:c r="E27" s="4" t="str">
        <x:v>Draft, GT, refit, class, accommodation and machinery</x:v>
      </x:c>
      <x:c r="F27" s="4" t="str">
        <x:v>https://www.fraseryachts.com/en/yacht-for-sale/alfa-nero/</x:v>
      </x:c>
      <x:c r="G27" s="28" t="n">
        <x:v>46290</x:v>
      </x:c>
      <x:c r="H27" s="4" t="str"/>
    </x:row>
    <x:row r="28" ht="82" customHeight="1">
      <x:c r="A28" s="20" t="str">
        <x:v>FR703</x:v>
      </x:c>
      <x:c r="B28" s="20" t="str">
        <x:v>Fraser</x:v>
      </x:c>
      <x:c r="C28" s="4" t="str">
        <x:v>Charter broker</x:v>
      </x:c>
      <x:c r="D28" s="4" t="str">
        <x:v>Wheels</x:v>
      </x:c>
      <x:c r="E28" s="4" t="str">
        <x:v>Draft, beam, GT, refit, class, accommodation and machinery</x:v>
      </x:c>
      <x:c r="F28" s="4" t="str">
        <x:v>https://www.fraseryachts.com/en/yacht-for-charter/wheels/</x:v>
      </x:c>
      <x:c r="G28" s="28" t="n">
        <x:v>46290</x:v>
      </x:c>
      <x:c r="H28" s="4" t="str"/>
    </x:row>
    <x:row r="29" ht="82" customHeight="1">
      <x:c r="A29" s="20" t="str">
        <x:v>ED705</x:v>
      </x:c>
      <x:c r="B29" s="20" t="str">
        <x:v>Edmiston</x:v>
      </x:c>
      <x:c r="C29" s="4" t="str">
        <x:v>Charter broker</x:v>
      </x:c>
      <x:c r="D29" s="4" t="str">
        <x:v>Sunrays</x:v>
      </x:c>
      <x:c r="E29" s="4" t="str">
        <x:v>Draft, refit, accommodation, materials, naval architect and cruise speed</x:v>
      </x:c>
      <x:c r="F29" s="4" t="str">
        <x:v>https://www.edmiston.com/50/sunrays-yacht-charter/</x:v>
      </x:c>
      <x:c r="G29" s="28" t="n">
        <x:v>46290</x:v>
      </x:c>
      <x:c r="H29" s="4" t="str">
        <x:v>Broker beam 13.8m is retained as a conflicting observation rather than replacing builder 14.2m.</x:v>
      </x:c>
    </x:row>
    <x:row r="30" ht="82" customHeight="1">
      <x:c r="A30" s="20" t="str">
        <x:v>CW706</x:v>
      </x:c>
      <x:c r="B30" s="20" t="str">
        <x:v>CharterWorld</x:v>
      </x:c>
      <x:c r="C30" s="4" t="str">
        <x:v>Broker vessel profile</x:v>
      </x:c>
      <x:c r="D30" s="4" t="str">
        <x:v>Man of Steel / original Seven Seas</x:v>
      </x:c>
      <x:c r="E30" s="4" t="str">
        <x:v>Original hull material, exterior designer, naval architect</x:v>
      </x:c>
      <x:c r="F30" s="4" t="str">
        <x:v>https://www.charterworld.com/index.html?charter=motor-yacht-y-5937&amp;sub=yacht-charter</x:v>
      </x:c>
      <x:c r="G30" s="28" t="n">
        <x:v>46290</x:v>
      </x:c>
      <x:c r="H30" s="4" t="str">
        <x:v>Historical profile under original/project identity.</x:v>
      </x:c>
    </x:row>
    <x:row r="31" ht="82" customHeight="1">
      <x:c r="A31" s="20" t="str">
        <x:v>YC711</x:v>
      </x:c>
      <x:c r="B31" s="20" t="str">
        <x:v>Y.CO</x:v>
      </x:c>
      <x:c r="C31" s="4" t="str">
        <x:v>Broker</x:v>
      </x:c>
      <x:c r="D31" s="4" t="str">
        <x:v>AQuiJo</x:v>
      </x:c>
      <x:c r="E31" s="4" t="str">
        <x:v>86m; draft 5.3m; 1538GT; accommodation and speed</x:v>
      </x:c>
      <x:c r="F31" s="4" t="str">
        <x:v>https://y.co/yacht/aquijo</x:v>
      </x:c>
      <x:c r="G31" s="28" t="n">
        <x:v>46290</x:v>
      </x:c>
      <x:c r="H31" s="4" t="str">
        <x:v>LOA and GT differ from builder/database; commercial capacity is not a statutory maximum.</x:v>
      </x:c>
    </x:row>
    <x:row r="32" ht="82" customHeight="1">
      <x:c r="A32" s="20" t="str">
        <x:v>YC717</x:v>
      </x:c>
      <x:c r="B32" s="20" t="str">
        <x:v>Y.CO</x:v>
      </x:c>
      <x:c r="C32" s="4" t="str">
        <x:v>Broker</x:v>
      </x:c>
      <x:c r="D32" s="4" t="str">
        <x:v>LUNA</x:v>
      </x:c>
      <x:c r="E32" s="4" t="str">
        <x:v>Draft, GT, accommodation and speed</x:v>
      </x:c>
      <x:c r="F32" s="4" t="str">
        <x:v>https://y.co/yacht/luna</x:v>
      </x:c>
      <x:c r="G32" s="28" t="n">
        <x:v>46290</x:v>
      </x:c>
      <x:c r="H32" s="4" t="str">
        <x:v>Broker gives 90.13m; builder rounds current published length to 90m.</x:v>
      </x:c>
    </x:row>
    <x:row r="33" ht="82" customHeight="1">
      <x:c r="A33" s="20" t="str">
        <x:v>LAT712</x:v>
      </x:c>
      <x:c r="B33" s="20" t="str">
        <x:v>Lateral Naval Architects</x:v>
      </x:c>
      <x:c r="C33" s="4" t="str">
        <x:v>Naval architect</x:v>
      </x:c>
      <x:c r="D33" s="4" t="str">
        <x:v>Black Pearl</x:v>
      </x:c>
      <x:c r="E33" s="4" t="str">
        <x:v>Hybrid propulsion; naval architecture</x:v>
      </x:c>
      <x:c r="F33" s="4" t="str">
        <x:v>https://www.lateral.engineering/projects/black-pearl/</x:v>
      </x:c>
      <x:c r="G33" s="28" t="n">
        <x:v>46290</x:v>
      </x:c>
      <x:c r="H33" s="4" t="str"/>
    </x:row>
    <x:row r="34" ht="82" customHeight="1">
      <x:c r="A34" s="20" t="str">
        <x:v>LAT714</x:v>
      </x:c>
      <x:c r="B34" s="20" t="str">
        <x:v>Lateral Naval Architects</x:v>
      </x:c>
      <x:c r="C34" s="4" t="str">
        <x:v>Naval architect</x:v>
      </x:c>
      <x:c r="D34" s="4" t="str">
        <x:v>KAOS</x:v>
      </x:c>
      <x:c r="E34" s="4" t="str">
        <x:v>Hull / engineering design contributors</x:v>
      </x:c>
      <x:c r="F34" s="4" t="str">
        <x:v>https://www.lateral.engineering/projects/kaos/</x:v>
      </x:c>
      <x:c r="G34" s="28" t="n">
        <x:v>46290</x:v>
      </x:c>
      <x:c r="H34" s="4" t="str"/>
    </x:row>
    <x:row r="35" ht="82" customHeight="1">
      <x:c r="A35" s="20" t="str">
        <x:v>LAT718</x:v>
      </x:c>
      <x:c r="B35" s="20" t="str">
        <x:v>Lateral Naval Architects</x:v>
      </x:c>
      <x:c r="C35" s="4" t="str">
        <x:v>Naval architect</x:v>
      </x:c>
      <x:c r="D35" s="4" t="str">
        <x:v>Bravo Eugenia</x:v>
      </x:c>
      <x:c r="E35" s="4" t="str">
        <x:v>Hybrid propulsion; 2 x 1440kW MTU; naval architecture</x:v>
      </x:c>
      <x:c r="F35" s="4" t="str">
        <x:v>https://www.lateral.engineering/projects/bravo/</x:v>
      </x:c>
      <x:c r="G35" s="28" t="n">
        <x:v>46290</x:v>
      </x:c>
      <x:c r="H35" s="4" t="str"/>
    </x:row>
    <x:row r="36" ht="82" customHeight="1">
      <x:c r="A36" s="20" t="str">
        <x:v>LAT719</x:v>
      </x:c>
      <x:c r="B36" s="20" t="str">
        <x:v>Lateral Naval Architects</x:v>
      </x:c>
      <x:c r="C36" s="4" t="str">
        <x:v>Naval architect</x:v>
      </x:c>
      <x:c r="D36" s="4" t="str">
        <x:v>Infinity</x:v>
      </x:c>
      <x:c r="E36" s="4" t="str">
        <x:v>117m; 16.5m; 16 guests; naval architecture</x:v>
      </x:c>
      <x:c r="F36" s="4" t="str">
        <x:v>https://www.lateral.engineering/projects/Inifinity-117m/</x:v>
      </x:c>
      <x:c r="G36" s="28" t="n">
        <x:v>46290</x:v>
      </x:c>
      <x:c r="H36" s="4" t="str"/>
    </x:row>
    <x:row r="37" ht="82" customHeight="1">
      <x:c r="A37" s="20" t="str">
        <x:v>LAT720</x:v>
      </x:c>
      <x:c r="B37" s="20" t="str">
        <x:v>Lateral Naval Architects</x:v>
      </x:c>
      <x:c r="C37" s="4" t="str">
        <x:v>Naval architect</x:v>
      </x:c>
      <x:c r="D37" s="4" t="str">
        <x:v>Seven Seas</x:v>
      </x:c>
      <x:c r="E37" s="4" t="str">
        <x:v>109m; 16m; 20kn; naval architecture</x:v>
      </x:c>
      <x:c r="F37" s="4" t="str">
        <x:v>https://www.lateral.engineering/projects/Seven-Seas-357ft/</x:v>
      </x:c>
      <x:c r="G37" s="28" t="n">
        <x:v>46290</x:v>
      </x:c>
      <x:c r="H37" s="4" t="str"/>
    </x:row>
    <x:row r="38" ht="82" customHeight="1">
      <x:c r="A38" s="20" t="str">
        <x:v>LAT721</x:v>
      </x:c>
      <x:c r="B38" s="20" t="str">
        <x:v>Lateral Naval Architects</x:v>
      </x:c>
      <x:c r="C38" s="4" t="str">
        <x:v>Naval architect</x:v>
      </x:c>
      <x:c r="D38" s="4" t="str">
        <x:v>Koru</x:v>
      </x:c>
      <x:c r="E38" s="4" t="str">
        <x:v>Naval architecture; conflicting length and beam observations</x:v>
      </x:c>
      <x:c r="F38" s="4" t="str">
        <x:v>https://www.lateral.engineering/projects/koru-125m-410ft/</x:v>
      </x:c>
      <x:c r="G38" s="28" t="n">
        <x:v>46290</x:v>
      </x:c>
      <x:c r="H38" s="4" t="str">
        <x:v>Koru page title says 125m, but specification body says 127m and beam 16m.</x:v>
      </x:c>
    </x:row>
    <x:row r="39" ht="82" customHeight="1">
      <x:c r="A39" s="20" t="str">
        <x:v>B701</x:v>
      </x:c>
      <x:c r="B39" s="20" t="str">
        <x:v>Oceanco</x:v>
      </x:c>
      <x:c r="C39" s="4" t="str">
        <x:v>Builder</x:v>
      </x:c>
      <x:c r="D39" s="4" t="str">
        <x:v>Batello</x:v>
      </x:c>
      <x:c r="E39" s="4" t="str">
        <x:v>Current published name; length, beam, delivery year; design team; selected features</x:v>
      </x:c>
      <x:c r="F39" s="4" t="str">
        <x:v>https://www.oceancoyacht.com/fleet/batello/</x:v>
      </x:c>
      <x:c r="G39" s="28" t="n">
        <x:v>46290</x:v>
      </x:c>
      <x:c r="H39" s="4" t="str">
        <x:v>Builder marketing particulars; not statutory certificates.</x:v>
      </x:c>
    </x:row>
    <x:row r="40" ht="82" customHeight="1">
      <x:c r="A40" s="20" t="str">
        <x:v>V701</x:v>
      </x:c>
      <x:c r="B40" s="20" t="str">
        <x:v>VesselFinder</x:v>
      </x:c>
      <x:c r="C40" s="4" t="str">
        <x:v>AIS / vessel database</x:v>
      </x:c>
      <x:c r="D40" s="4" t="str">
        <x:v>Batello</x:v>
      </x:c>
      <x:c r="E40" s="4" t="str">
        <x:v>IMO, MMSI, call sign, flag; static GT, dimensions and year; former identities</x:v>
      </x:c>
      <x:c r="F40" s="4" t="str">
        <x:v>https://www.vesselfinder.com/vessels/details/1009118</x:v>
      </x:c>
      <x:c r="G40" s="28" t="n">
        <x:v>46290</x:v>
      </x:c>
      <x:c r="H40" s="4" t="str">
        <x:v>Radio identity / AIS and static specification sections may differ or be stale. Not certificate-verified.</x:v>
      </x:c>
    </x:row>
    <x:row r="41" ht="82" customHeight="1">
      <x:c r="A41" s="20" t="str">
        <x:v>B702</x:v>
      </x:c>
      <x:c r="B41" s="20" t="str">
        <x:v>Oceanco</x:v>
      </x:c>
      <x:c r="C41" s="4" t="str">
        <x:v>Builder</x:v>
      </x:c>
      <x:c r="D41" s="4" t="str">
        <x:v>Alfa Nero</x:v>
      </x:c>
      <x:c r="E41" s="4" t="str">
        <x:v>Current published name; length, beam, delivery year; design team; selected features</x:v>
      </x:c>
      <x:c r="F41" s="4" t="str">
        <x:v>https://www.oceancoyacht.com/fleet/alfa-nero/</x:v>
      </x:c>
      <x:c r="G41" s="28" t="n">
        <x:v>46290</x:v>
      </x:c>
      <x:c r="H41" s="4" t="str">
        <x:v>Builder marketing particulars; not statutory certificates.</x:v>
      </x:c>
    </x:row>
    <x:row r="42" ht="82" customHeight="1">
      <x:c r="A42" s="20" t="str">
        <x:v>V702</x:v>
      </x:c>
      <x:c r="B42" s="20" t="str">
        <x:v>VesselFinder</x:v>
      </x:c>
      <x:c r="C42" s="4" t="str">
        <x:v>AIS / vessel database</x:v>
      </x:c>
      <x:c r="D42" s="4" t="str">
        <x:v>Alfa Nero</x:v>
      </x:c>
      <x:c r="E42" s="4" t="str">
        <x:v>IMO, MMSI, call sign, flag; static GT, dimensions and year; former identities</x:v>
      </x:c>
      <x:c r="F42" s="4" t="str">
        <x:v>https://www.vesselfinder.com/vessels/details/1009376</x:v>
      </x:c>
      <x:c r="G42" s="28" t="n">
        <x:v>46290</x:v>
      </x:c>
      <x:c r="H42" s="4" t="str">
        <x:v>Radio identity / AIS and static specification sections may differ or be stale. Not certificate-verified.</x:v>
      </x:c>
    </x:row>
    <x:row r="43" ht="82" customHeight="1">
      <x:c r="A43" s="20" t="str">
        <x:v>B703</x:v>
      </x:c>
      <x:c r="B43" s="20" t="str">
        <x:v>Oceanco</x:v>
      </x:c>
      <x:c r="C43" s="4" t="str">
        <x:v>Builder</x:v>
      </x:c>
      <x:c r="D43" s="4" t="str">
        <x:v>Wheels</x:v>
      </x:c>
      <x:c r="E43" s="4" t="str">
        <x:v>Current published name; length, beam, delivery year; design team; selected features</x:v>
      </x:c>
      <x:c r="F43" s="4" t="str">
        <x:v>https://www.oceancoyacht.com/fleet/wheels/</x:v>
      </x:c>
      <x:c r="G43" s="28" t="n">
        <x:v>46290</x:v>
      </x:c>
      <x:c r="H43" s="4" t="str">
        <x:v>Builder marketing particulars; not statutory certificates.</x:v>
      </x:c>
    </x:row>
    <x:row r="44" ht="82" customHeight="1">
      <x:c r="A44" s="20" t="str">
        <x:v>V703</x:v>
      </x:c>
      <x:c r="B44" s="20" t="str">
        <x:v>VesselFinder</x:v>
      </x:c>
      <x:c r="C44" s="4" t="str">
        <x:v>AIS / vessel database</x:v>
      </x:c>
      <x:c r="D44" s="4" t="str">
        <x:v>Wheels</x:v>
      </x:c>
      <x:c r="E44" s="4" t="str">
        <x:v>IMO, MMSI, call sign, flag; static GT, dimensions and year; former identities</x:v>
      </x:c>
      <x:c r="F44" s="4" t="str">
        <x:v>https://www.vesselfinder.com/vessels/details/1009388</x:v>
      </x:c>
      <x:c r="G44" s="28" t="n">
        <x:v>46290</x:v>
      </x:c>
      <x:c r="H44" s="4" t="str">
        <x:v>Radio identity / AIS and static specification sections may differ or be stale. Not certificate-verified.</x:v>
      </x:c>
    </x:row>
    <x:row r="45" ht="82" customHeight="1">
      <x:c r="A45" s="20" t="str">
        <x:v>B704</x:v>
      </x:c>
      <x:c r="B45" s="20" t="str">
        <x:v>Oceanco</x:v>
      </x:c>
      <x:c r="C45" s="4" t="str">
        <x:v>Builder</x:v>
      </x:c>
      <x:c r="D45" s="4" t="str">
        <x:v>Vibrant Curiosity</x:v>
      </x:c>
      <x:c r="E45" s="4" t="str">
        <x:v>Current published name; length, beam, delivery year; design team; selected features</x:v>
      </x:c>
      <x:c r="F45" s="4" t="str">
        <x:v>https://www.oceancoyacht.com/fleet/vibrant-curiosity/</x:v>
      </x:c>
      <x:c r="G45" s="28" t="n">
        <x:v>46290</x:v>
      </x:c>
      <x:c r="H45" s="4" t="str">
        <x:v>Builder marketing particulars; not statutory certificates.</x:v>
      </x:c>
    </x:row>
    <x:row r="46" ht="82" customHeight="1">
      <x:c r="A46" s="20" t="str">
        <x:v>V704</x:v>
      </x:c>
      <x:c r="B46" s="20" t="str">
        <x:v>VesselFinder</x:v>
      </x:c>
      <x:c r="C46" s="4" t="str">
        <x:v>AIS / vessel database</x:v>
      </x:c>
      <x:c r="D46" s="4" t="str">
        <x:v>Vibrant Curiosity</x:v>
      </x:c>
      <x:c r="E46" s="4" t="str">
        <x:v>IMO, MMSI, call sign, flag; static GT, dimensions and year; former identities</x:v>
      </x:c>
      <x:c r="F46" s="4" t="str">
        <x:v>https://www.vesselfinder.com/vessels/details/1010002</x:v>
      </x:c>
      <x:c r="G46" s="28" t="n">
        <x:v>46290</x:v>
      </x:c>
      <x:c r="H46" s="4" t="str">
        <x:v>Radio identity / AIS and static specification sections may differ or be stale. Not certificate-verified.</x:v>
      </x:c>
    </x:row>
    <x:row r="47" ht="82" customHeight="1">
      <x:c r="A47" s="20" t="str">
        <x:v>B705</x:v>
      </x:c>
      <x:c r="B47" s="20" t="str">
        <x:v>Oceanco</x:v>
      </x:c>
      <x:c r="C47" s="4" t="str">
        <x:v>Builder</x:v>
      </x:c>
      <x:c r="D47" s="4" t="str">
        <x:v>Sunrays</x:v>
      </x:c>
      <x:c r="E47" s="4" t="str">
        <x:v>Current published name; length, beam, delivery year; design team; selected features</x:v>
      </x:c>
      <x:c r="F47" s="4" t="str">
        <x:v>https://www.oceancoyacht.com/fleet/sunrays/</x:v>
      </x:c>
      <x:c r="G47" s="28" t="n">
        <x:v>46290</x:v>
      </x:c>
      <x:c r="H47" s="4" t="str">
        <x:v>Builder marketing particulars; not statutory certificates.</x:v>
      </x:c>
    </x:row>
    <x:row r="48" ht="82" customHeight="1">
      <x:c r="A48" s="20" t="str">
        <x:v>V705</x:v>
      </x:c>
      <x:c r="B48" s="20" t="str">
        <x:v>VesselFinder</x:v>
      </x:c>
      <x:c r="C48" s="4" t="str">
        <x:v>AIS / vessel database</x:v>
      </x:c>
      <x:c r="D48" s="4" t="str">
        <x:v>Sunrays</x:v>
      </x:c>
      <x:c r="E48" s="4" t="str">
        <x:v>IMO, MMSI, call sign, flag; static GT, dimensions and year; former identities</x:v>
      </x:c>
      <x:c r="F48" s="4" t="str">
        <x:v>https://www.vesselfinder.com/vessels/details/1010351</x:v>
      </x:c>
      <x:c r="G48" s="28" t="n">
        <x:v>46290</x:v>
      </x:c>
      <x:c r="H48" s="4" t="str">
        <x:v>Radio identity / AIS and static specification sections may differ or be stale. Not certificate-verified.</x:v>
      </x:c>
    </x:row>
    <x:row r="49" ht="82" customHeight="1">
      <x:c r="A49" s="20" t="str">
        <x:v>V706</x:v>
      </x:c>
      <x:c r="B49" s="20" t="str">
        <x:v>VesselFinder</x:v>
      </x:c>
      <x:c r="C49" s="4" t="str">
        <x:v>AIS / vessel database</x:v>
      </x:c>
      <x:c r="D49" s="4" t="str">
        <x:v>Man of Steel</x:v>
      </x:c>
      <x:c r="E49" s="4" t="str">
        <x:v>IMO, MMSI, call sign, flag; static GT, dimensions and year; former identities</x:v>
      </x:c>
      <x:c r="F49" s="4" t="str">
        <x:v>https://www.vesselfinder.com/vessels/details/1010777</x:v>
      </x:c>
      <x:c r="G49" s="28" t="n">
        <x:v>46290</x:v>
      </x:c>
      <x:c r="H49" s="4" t="str">
        <x:v>Radio identity / AIS and static specification sections may differ or be stale. Not certificate-verified.</x:v>
      </x:c>
    </x:row>
    <x:row r="50" ht="82" customHeight="1">
      <x:c r="A50" s="20" t="str">
        <x:v>B707</x:v>
      </x:c>
      <x:c r="B50" s="20" t="str">
        <x:v>Oceanco</x:v>
      </x:c>
      <x:c r="C50" s="4" t="str">
        <x:v>Builder</x:v>
      </x:c>
      <x:c r="D50" s="4" t="str">
        <x:v>Nirvana</x:v>
      </x:c>
      <x:c r="E50" s="4" t="str">
        <x:v>Current published name; length, beam, delivery year; design team; selected features</x:v>
      </x:c>
      <x:c r="F50" s="4" t="str">
        <x:v>https://www.oceancoyacht.com/fleet/nirvana/</x:v>
      </x:c>
      <x:c r="G50" s="28" t="n">
        <x:v>46290</x:v>
      </x:c>
      <x:c r="H50" s="4" t="str">
        <x:v>Builder marketing particulars; not statutory certificates.</x:v>
      </x:c>
    </x:row>
    <x:row r="51" ht="82" customHeight="1">
      <x:c r="A51" s="20" t="str">
        <x:v>V707</x:v>
      </x:c>
      <x:c r="B51" s="20" t="str">
        <x:v>VesselFinder</x:v>
      </x:c>
      <x:c r="C51" s="4" t="str">
        <x:v>AIS / vessel database</x:v>
      </x:c>
      <x:c r="D51" s="4" t="str">
        <x:v>Nirvana</x:v>
      </x:c>
      <x:c r="E51" s="4" t="str">
        <x:v>IMO, MMSI, call sign, flag; static GT, dimensions and year; former identities</x:v>
      </x:c>
      <x:c r="F51" s="4" t="str">
        <x:v>https://www.vesselfinder.com/vessels/details/1011202</x:v>
      </x:c>
      <x:c r="G51" s="28" t="n">
        <x:v>46290</x:v>
      </x:c>
      <x:c r="H51" s="4" t="str">
        <x:v>Radio identity / AIS and static specification sections may differ or be stale. Not certificate-verified.</x:v>
      </x:c>
    </x:row>
    <x:row r="52" ht="82" customHeight="1">
      <x:c r="A52" s="20" t="str">
        <x:v>B708</x:v>
      </x:c>
      <x:c r="B52" s="20" t="str">
        <x:v>Oceanco</x:v>
      </x:c>
      <x:c r="C52" s="4" t="str">
        <x:v>Builder</x:v>
      </x:c>
      <x:c r="D52" s="4" t="str">
        <x:v>Amore Vero</x:v>
      </x:c>
      <x:c r="E52" s="4" t="str">
        <x:v>Current published name; length, beam, delivery year; design team; selected features</x:v>
      </x:c>
      <x:c r="F52" s="4" t="str">
        <x:v>https://www.oceancoyacht.com/fleet/amore-vero/</x:v>
      </x:c>
      <x:c r="G52" s="28" t="n">
        <x:v>46290</x:v>
      </x:c>
      <x:c r="H52" s="4" t="str">
        <x:v>Builder marketing particulars; not statutory certificates.</x:v>
      </x:c>
    </x:row>
    <x:row r="53" ht="82" customHeight="1">
      <x:c r="A53" s="20" t="str">
        <x:v>V708</x:v>
      </x:c>
      <x:c r="B53" s="20" t="str">
        <x:v>VesselFinder</x:v>
      </x:c>
      <x:c r="C53" s="4" t="str">
        <x:v>AIS / vessel database</x:v>
      </x:c>
      <x:c r="D53" s="4" t="str">
        <x:v>Amore Vero</x:v>
      </x:c>
      <x:c r="E53" s="4" t="str">
        <x:v>IMO, MMSI, call sign, flag; static GT, dimensions and year; former identities</x:v>
      </x:c>
      <x:c r="F53" s="4" t="str">
        <x:v>https://www.vesselfinder.com/vessels/details/1011757</x:v>
      </x:c>
      <x:c r="G53" s="28" t="n">
        <x:v>46290</x:v>
      </x:c>
      <x:c r="H53" s="4" t="str">
        <x:v>Radio identity / AIS and static specification sections may differ or be stale. Not certificate-verified.</x:v>
      </x:c>
    </x:row>
    <x:row r="54" ht="82" customHeight="1">
      <x:c r="A54" s="20" t="str">
        <x:v>B709</x:v>
      </x:c>
      <x:c r="B54" s="20" t="str">
        <x:v>Oceanco</x:v>
      </x:c>
      <x:c r="C54" s="4" t="str">
        <x:v>Builder</x:v>
      </x:c>
      <x:c r="D54" s="4" t="str">
        <x:v>Draak</x:v>
      </x:c>
      <x:c r="E54" s="4" t="str">
        <x:v>Current published name; length, beam, delivery year; design team; selected features</x:v>
      </x:c>
      <x:c r="F54" s="4" t="str">
        <x:v>https://www.oceancoyacht.com/fleet/draak/</x:v>
      </x:c>
      <x:c r="G54" s="28" t="n">
        <x:v>46290</x:v>
      </x:c>
      <x:c r="H54" s="4" t="str">
        <x:v>Builder marketing particulars; not statutory certificates.</x:v>
      </x:c>
    </x:row>
    <x:row r="55" ht="82" customHeight="1">
      <x:c r="A55" s="20" t="str">
        <x:v>V709</x:v>
      </x:c>
      <x:c r="B55" s="20" t="str">
        <x:v>VesselFinder</x:v>
      </x:c>
      <x:c r="C55" s="4" t="str">
        <x:v>AIS / vessel database</x:v>
      </x:c>
      <x:c r="D55" s="4" t="str">
        <x:v>Draak</x:v>
      </x:c>
      <x:c r="E55" s="4" t="str">
        <x:v>IMO, MMSI, call sign, flag; static GT, dimensions and year; former identities</x:v>
      </x:c>
      <x:c r="F55" s="4" t="str">
        <x:v>https://www.vesselfinder.com/vessels/details/1012086</x:v>
      </x:c>
      <x:c r="G55" s="28" t="n">
        <x:v>46290</x:v>
      </x:c>
      <x:c r="H55" s="4" t="str">
        <x:v>Radio identity / AIS and static specification sections may differ or be stale. Not certificate-verified.</x:v>
      </x:c>
    </x:row>
    <x:row r="56" ht="82" customHeight="1">
      <x:c r="A56" s="20" t="str">
        <x:v>B710</x:v>
      </x:c>
      <x:c r="B56" s="20" t="str">
        <x:v>Oceanco</x:v>
      </x:c>
      <x:c r="C56" s="4" t="str">
        <x:v>Builder</x:v>
      </x:c>
      <x:c r="D56" s="4" t="str">
        <x:v>Samsara</x:v>
      </x:c>
      <x:c r="E56" s="4" t="str">
        <x:v>Current published name; length, beam, delivery year; design team; selected features</x:v>
      </x:c>
      <x:c r="F56" s="4" t="str">
        <x:v>https://www.oceancoyacht.com/fleet/samsara/</x:v>
      </x:c>
      <x:c r="G56" s="28" t="n">
        <x:v>46290</x:v>
      </x:c>
      <x:c r="H56" s="4" t="str">
        <x:v>Builder marketing particulars; not statutory certificates.</x:v>
      </x:c>
    </x:row>
    <x:row r="57" ht="82" customHeight="1">
      <x:c r="A57" s="20" t="str">
        <x:v>V710</x:v>
      </x:c>
      <x:c r="B57" s="20" t="str">
        <x:v>VesselFinder</x:v>
      </x:c>
      <x:c r="C57" s="4" t="str">
        <x:v>AIS / vessel database</x:v>
      </x:c>
      <x:c r="D57" s="4" t="str">
        <x:v>Samsara</x:v>
      </x:c>
      <x:c r="E57" s="4" t="str">
        <x:v>IMO, MMSI, call sign, flag; static GT, dimensions and year; former identities</x:v>
      </x:c>
      <x:c r="F57" s="4" t="str">
        <x:v>https://www.vesselfinder.com/vessels/details/1012177</x:v>
      </x:c>
      <x:c r="G57" s="28" t="n">
        <x:v>46290</x:v>
      </x:c>
      <x:c r="H57" s="4" t="str">
        <x:v>Radio identity / AIS and static specification sections may differ or be stale. Not certificate-verified.</x:v>
      </x:c>
    </x:row>
    <x:row r="58" ht="82" customHeight="1">
      <x:c r="A58" s="20" t="str">
        <x:v>B711</x:v>
      </x:c>
      <x:c r="B58" s="20" t="str">
        <x:v>Oceanco</x:v>
      </x:c>
      <x:c r="C58" s="4" t="str">
        <x:v>Builder</x:v>
      </x:c>
      <x:c r="D58" s="4" t="str">
        <x:v>AQuiJo</x:v>
      </x:c>
      <x:c r="E58" s="4" t="str">
        <x:v>Current published name; length, beam, delivery year; design team; selected features</x:v>
      </x:c>
      <x:c r="F58" s="4" t="str">
        <x:v>https://www.oceancoyacht.com/fleet/aquijo/</x:v>
      </x:c>
      <x:c r="G58" s="28" t="n">
        <x:v>46290</x:v>
      </x:c>
      <x:c r="H58" s="4" t="str">
        <x:v>Builder marketing particulars; not statutory certificates.</x:v>
      </x:c>
    </x:row>
    <x:row r="59" ht="82" customHeight="1">
      <x:c r="A59" s="20" t="str">
        <x:v>V711</x:v>
      </x:c>
      <x:c r="B59" s="20" t="str">
        <x:v>VesselFinder</x:v>
      </x:c>
      <x:c r="C59" s="4" t="str">
        <x:v>AIS / vessel database</x:v>
      </x:c>
      <x:c r="D59" s="4" t="str">
        <x:v>AQuiJo</x:v>
      </x:c>
      <x:c r="E59" s="4" t="str">
        <x:v>IMO, MMSI, call sign, flag; static GT, dimensions and year; former identities</x:v>
      </x:c>
      <x:c r="F59" s="4" t="str">
        <x:v>https://www.vesselfinder.com/vessels/details/1012529</x:v>
      </x:c>
      <x:c r="G59" s="28" t="n">
        <x:v>46290</x:v>
      </x:c>
      <x:c r="H59" s="4" t="str">
        <x:v>Radio identity / AIS and static specification sections may differ or be stale. Not certificate-verified.</x:v>
      </x:c>
    </x:row>
    <x:row r="60" ht="82" customHeight="1">
      <x:c r="A60" s="20" t="str">
        <x:v>B712</x:v>
      </x:c>
      <x:c r="B60" s="20" t="str">
        <x:v>Oceanco</x:v>
      </x:c>
      <x:c r="C60" s="4" t="str">
        <x:v>Builder</x:v>
      </x:c>
      <x:c r="D60" s="4" t="str">
        <x:v>Black Pearl</x:v>
      </x:c>
      <x:c r="E60" s="4" t="str">
        <x:v>Current published name; length, beam, delivery year; design team; selected features</x:v>
      </x:c>
      <x:c r="F60" s="4" t="str">
        <x:v>https://www.oceancoyacht.com/fleet/black-pearl/</x:v>
      </x:c>
      <x:c r="G60" s="28" t="n">
        <x:v>46290</x:v>
      </x:c>
      <x:c r="H60" s="4" t="str">
        <x:v>Builder marketing particulars; not statutory certificates.</x:v>
      </x:c>
    </x:row>
    <x:row r="61" ht="82" customHeight="1">
      <x:c r="A61" s="20" t="str">
        <x:v>V712</x:v>
      </x:c>
      <x:c r="B61" s="20" t="str">
        <x:v>VesselFinder</x:v>
      </x:c>
      <x:c r="C61" s="4" t="str">
        <x:v>AIS / vessel database</x:v>
      </x:c>
      <x:c r="D61" s="4" t="str">
        <x:v>Black Pearl</x:v>
      </x:c>
      <x:c r="E61" s="4" t="str">
        <x:v>IMO, MMSI, call sign, flag; static GT, dimensions and year; former identities</x:v>
      </x:c>
      <x:c r="F61" s="4" t="str">
        <x:v>https://www.vesselfinder.com/vessels/details/1012490</x:v>
      </x:c>
      <x:c r="G61" s="28" t="n">
        <x:v>46290</x:v>
      </x:c>
      <x:c r="H61" s="4" t="str">
        <x:v>Radio identity / AIS and static specification sections may differ or be stale. Not certificate-verified.</x:v>
      </x:c>
    </x:row>
    <x:row r="62" ht="82" customHeight="1">
      <x:c r="A62" s="20" t="str">
        <x:v>B714</x:v>
      </x:c>
      <x:c r="B62" s="20" t="str">
        <x:v>Oceanco</x:v>
      </x:c>
      <x:c r="C62" s="4" t="str">
        <x:v>Builder</x:v>
      </x:c>
      <x:c r="D62" s="4" t="str">
        <x:v>KAOS</x:v>
      </x:c>
      <x:c r="E62" s="4" t="str">
        <x:v>Current published name; length, beam, delivery year; design team; selected features</x:v>
      </x:c>
      <x:c r="F62" s="4" t="str">
        <x:v>https://www.oceancoyacht.com/fleet/kaos/</x:v>
      </x:c>
      <x:c r="G62" s="28" t="n">
        <x:v>46290</x:v>
      </x:c>
      <x:c r="H62" s="4" t="str">
        <x:v>Builder marketing particulars; not statutory certificates.</x:v>
      </x:c>
    </x:row>
    <x:row r="63" ht="82" customHeight="1">
      <x:c r="A63" s="20" t="str">
        <x:v>V714</x:v>
      </x:c>
      <x:c r="B63" s="20" t="str">
        <x:v>VesselFinder</x:v>
      </x:c>
      <x:c r="C63" s="4" t="str">
        <x:v>AIS / vessel database</x:v>
      </x:c>
      <x:c r="D63" s="4" t="str">
        <x:v>KAOS</x:v>
      </x:c>
      <x:c r="E63" s="4" t="str">
        <x:v>IMO, MMSI, call sign, flag; static GT, dimensions and year; former identities</x:v>
      </x:c>
      <x:c r="F63" s="4" t="str">
        <x:v>https://www.vesselfinder.com/vessels/details/1012610</x:v>
      </x:c>
      <x:c r="G63" s="28" t="n">
        <x:v>46290</x:v>
      </x:c>
      <x:c r="H63" s="4" t="str">
        <x:v>Radio identity / AIS and static specification sections may differ or be stale. Not certificate-verified.</x:v>
      </x:c>
    </x:row>
    <x:row r="64" ht="82" customHeight="1">
      <x:c r="A64" s="20" t="str">
        <x:v>B715</x:v>
      </x:c>
      <x:c r="B64" s="20" t="str">
        <x:v>Oceanco</x:v>
      </x:c>
      <x:c r="C64" s="4" t="str">
        <x:v>Builder</x:v>
      </x:c>
      <x:c r="D64" s="4" t="str">
        <x:v>Barbara</x:v>
      </x:c>
      <x:c r="E64" s="4" t="str">
        <x:v>Current published name; length, beam, delivery year; design team; selected features</x:v>
      </x:c>
      <x:c r="F64" s="4" t="str">
        <x:v>https://www.oceancoyacht.com/fleet/barbara/</x:v>
      </x:c>
      <x:c r="G64" s="28" t="n">
        <x:v>46290</x:v>
      </x:c>
      <x:c r="H64" s="4" t="str">
        <x:v>Builder marketing particulars; not statutory certificates.</x:v>
      </x:c>
    </x:row>
    <x:row r="65" ht="82" customHeight="1">
      <x:c r="A65" s="20" t="str">
        <x:v>V715</x:v>
      </x:c>
      <x:c r="B65" s="20" t="str">
        <x:v>VesselFinder</x:v>
      </x:c>
      <x:c r="C65" s="4" t="str">
        <x:v>AIS / vessel database</x:v>
      </x:c>
      <x:c r="D65" s="4" t="str">
        <x:v>Barbara</x:v>
      </x:c>
      <x:c r="E65" s="4" t="str">
        <x:v>IMO, MMSI, call sign, flag; static GT, dimensions and year; former identities</x:v>
      </x:c>
      <x:c r="F65" s="4" t="str">
        <x:v>https://www.vesselfinder.com/vessels/details/1012725</x:v>
      </x:c>
      <x:c r="G65" s="28" t="n">
        <x:v>46290</x:v>
      </x:c>
      <x:c r="H65" s="4" t="str">
        <x:v>Radio identity / AIS and static specification sections may differ or be stale. Not certificate-verified.</x:v>
      </x:c>
    </x:row>
    <x:row r="66" ht="82" customHeight="1">
      <x:c r="A66" s="20" t="str">
        <x:v>B716</x:v>
      </x:c>
      <x:c r="B66" s="20" t="str">
        <x:v>Oceanco</x:v>
      </x:c>
      <x:c r="C66" s="4" t="str">
        <x:v>Builder</x:v>
      </x:c>
      <x:c r="D66" s="4" t="str">
        <x:v>SHODAN</x:v>
      </x:c>
      <x:c r="E66" s="4" t="str">
        <x:v>Current published name; length, beam, delivery year; design team; selected features</x:v>
      </x:c>
      <x:c r="F66" s="4" t="str">
        <x:v>https://www.oceancoyacht.com/fleet/shodan/</x:v>
      </x:c>
      <x:c r="G66" s="28" t="n">
        <x:v>46290</x:v>
      </x:c>
      <x:c r="H66" s="4" t="str">
        <x:v>Builder marketing particulars; not statutory certificates.</x:v>
      </x:c>
    </x:row>
    <x:row r="67" ht="82" customHeight="1">
      <x:c r="A67" s="20" t="str">
        <x:v>V716</x:v>
      </x:c>
      <x:c r="B67" s="20" t="str">
        <x:v>VesselFinder</x:v>
      </x:c>
      <x:c r="C67" s="4" t="str">
        <x:v>AIS / vessel database</x:v>
      </x:c>
      <x:c r="D67" s="4" t="str">
        <x:v>SHODAN</x:v>
      </x:c>
      <x:c r="E67" s="4" t="str">
        <x:v>IMO, MMSI, call sign, flag; static GT, dimensions and year; former identities</x:v>
      </x:c>
      <x:c r="F67" s="4" t="str">
        <x:v>https://www.vesselfinder.com/vessels/details/1012919</x:v>
      </x:c>
      <x:c r="G67" s="28" t="n">
        <x:v>46290</x:v>
      </x:c>
      <x:c r="H67" s="4" t="str">
        <x:v>Radio identity / AIS and static specification sections may differ or be stale. Not certificate-verified.</x:v>
      </x:c>
    </x:row>
    <x:row r="68" ht="82" customHeight="1">
      <x:c r="A68" s="20" t="str">
        <x:v>B717</x:v>
      </x:c>
      <x:c r="B68" s="20" t="str">
        <x:v>Oceanco</x:v>
      </x:c>
      <x:c r="C68" s="4" t="str">
        <x:v>Builder</x:v>
      </x:c>
      <x:c r="D68" s="4" t="str">
        <x:v>LUNA</x:v>
      </x:c>
      <x:c r="E68" s="4" t="str">
        <x:v>Current published name; length, beam, delivery year; design team; selected features</x:v>
      </x:c>
      <x:c r="F68" s="4" t="str">
        <x:v>https://www.oceancoyacht.com/fleet/luna/</x:v>
      </x:c>
      <x:c r="G68" s="28" t="n">
        <x:v>46290</x:v>
      </x:c>
      <x:c r="H68" s="4" t="str">
        <x:v>Builder marketing particulars; not statutory certificates.</x:v>
      </x:c>
    </x:row>
    <x:row r="69" ht="82" customHeight="1">
      <x:c r="A69" s="20" t="str">
        <x:v>V717</x:v>
      </x:c>
      <x:c r="B69" s="20" t="str">
        <x:v>VesselFinder</x:v>
      </x:c>
      <x:c r="C69" s="4" t="str">
        <x:v>AIS / vessel database</x:v>
      </x:c>
      <x:c r="D69" s="4" t="str">
        <x:v>LUNA</x:v>
      </x:c>
      <x:c r="E69" s="4" t="str">
        <x:v>IMO, MMSI, call sign, flag; static GT, dimensions and year; former identities</x:v>
      </x:c>
      <x:c r="F69" s="4" t="str">
        <x:v>https://www.vesselfinder.com/vessels/details/1013066</x:v>
      </x:c>
      <x:c r="G69" s="28" t="n">
        <x:v>46290</x:v>
      </x:c>
      <x:c r="H69" s="4" t="str">
        <x:v>Radio identity / AIS and static specification sections may differ or be stale. Not certificate-verified.</x:v>
      </x:c>
    </x:row>
    <x:row r="70" ht="82" customHeight="1">
      <x:c r="A70" s="20" t="str">
        <x:v>B718</x:v>
      </x:c>
      <x:c r="B70" s="20" t="str">
        <x:v>Oceanco</x:v>
      </x:c>
      <x:c r="C70" s="4" t="str">
        <x:v>Builder</x:v>
      </x:c>
      <x:c r="D70" s="4" t="str">
        <x:v>Bravo Eugenia</x:v>
      </x:c>
      <x:c r="E70" s="4" t="str">
        <x:v>Current published name; length, beam, delivery year; design team; selected features</x:v>
      </x:c>
      <x:c r="F70" s="4" t="str">
        <x:v>https://www.oceancoyacht.com/fleet/bravo-eugenia/</x:v>
      </x:c>
      <x:c r="G70" s="28" t="n">
        <x:v>46290</x:v>
      </x:c>
      <x:c r="H70" s="4" t="str">
        <x:v>Builder marketing particulars; not statutory certificates.</x:v>
      </x:c>
    </x:row>
    <x:row r="71" ht="82" customHeight="1">
      <x:c r="A71" s="20" t="str">
        <x:v>V718</x:v>
      </x:c>
      <x:c r="B71" s="20" t="str">
        <x:v>VesselFinder</x:v>
      </x:c>
      <x:c r="C71" s="4" t="str">
        <x:v>AIS / vessel database</x:v>
      </x:c>
      <x:c r="D71" s="4" t="str">
        <x:v>Bravo Eugenia</x:v>
      </x:c>
      <x:c r="E71" s="4" t="str">
        <x:v>IMO, MMSI, call sign, flag; static GT, dimensions and year; former identities</x:v>
      </x:c>
      <x:c r="F71" s="4" t="str">
        <x:v>https://www.vesselfinder.com/vessels/details/1012921</x:v>
      </x:c>
      <x:c r="G71" s="28" t="n">
        <x:v>46290</x:v>
      </x:c>
      <x:c r="H71" s="4" t="str">
        <x:v>Radio identity / AIS and static specification sections may differ or be stale. Not certificate-verified.</x:v>
      </x:c>
    </x:row>
    <x:row r="72" ht="82" customHeight="1">
      <x:c r="A72" s="20" t="str">
        <x:v>B719</x:v>
      </x:c>
      <x:c r="B72" s="20" t="str">
        <x:v>Oceanco</x:v>
      </x:c>
      <x:c r="C72" s="4" t="str">
        <x:v>Builder</x:v>
      </x:c>
      <x:c r="D72" s="4" t="str">
        <x:v>Infinity</x:v>
      </x:c>
      <x:c r="E72" s="4" t="str">
        <x:v>Current published name; length, beam, delivery year; design team; selected features</x:v>
      </x:c>
      <x:c r="F72" s="4" t="str">
        <x:v>https://www.oceancoyacht.com/fleet/infinity/</x:v>
      </x:c>
      <x:c r="G72" s="28" t="n">
        <x:v>46290</x:v>
      </x:c>
      <x:c r="H72" s="4" t="str">
        <x:v>Builder marketing particulars; not statutory certificates.</x:v>
      </x:c>
    </x:row>
    <x:row r="73" ht="82" customHeight="1">
      <x:c r="A73" s="20" t="str">
        <x:v>V719</x:v>
      </x:c>
      <x:c r="B73" s="20" t="str">
        <x:v>VesselFinder</x:v>
      </x:c>
      <x:c r="C73" s="4" t="str">
        <x:v>AIS / vessel database</x:v>
      </x:c>
      <x:c r="D73" s="4" t="str">
        <x:v>Infinity</x:v>
      </x:c>
      <x:c r="E73" s="4" t="str">
        <x:v>IMO, MMSI, call sign, flag; static GT, dimensions and year; former identities</x:v>
      </x:c>
      <x:c r="F73" s="4" t="str">
        <x:v>https://www.vesselfinder.com/vessels/details/9817896</x:v>
      </x:c>
      <x:c r="G73" s="28" t="n">
        <x:v>46290</x:v>
      </x:c>
      <x:c r="H73" s="4" t="str">
        <x:v>Radio identity / AIS and static specification sections may differ or be stale. Not certificate-verified.</x:v>
      </x:c>
    </x:row>
    <x:row r="74" ht="82" customHeight="1">
      <x:c r="A74" s="20" t="str">
        <x:v>B720</x:v>
      </x:c>
      <x:c r="B74" s="20" t="str">
        <x:v>Oceanco</x:v>
      </x:c>
      <x:c r="C74" s="4" t="str">
        <x:v>Builder</x:v>
      </x:c>
      <x:c r="D74" s="4" t="str">
        <x:v>Seven Seas</x:v>
      </x:c>
      <x:c r="E74" s="4" t="str">
        <x:v>Current published name; length, beam, delivery year; design team; selected features</x:v>
      </x:c>
      <x:c r="F74" s="4" t="str">
        <x:v>https://www.oceancoyacht.com/fleet/seven-seas/</x:v>
      </x:c>
      <x:c r="G74" s="28" t="n">
        <x:v>46290</x:v>
      </x:c>
      <x:c r="H74" s="4" t="str">
        <x:v>Builder marketing particulars; not statutory certificates.</x:v>
      </x:c>
    </x:row>
    <x:row r="75" ht="82" customHeight="1">
      <x:c r="A75" s="20" t="str">
        <x:v>V720</x:v>
      </x:c>
      <x:c r="B75" s="20" t="str">
        <x:v>VesselFinder</x:v>
      </x:c>
      <x:c r="C75" s="4" t="str">
        <x:v>AIS / vessel database</x:v>
      </x:c>
      <x:c r="D75" s="4" t="str">
        <x:v>Seven Seas</x:v>
      </x:c>
      <x:c r="E75" s="4" t="str">
        <x:v>IMO, MMSI, call sign, flag; static GT, dimensions and year; former identities</x:v>
      </x:c>
      <x:c r="F75" s="4" t="str">
        <x:v>https://www.vesselfinder.com/vessels/details/9840178</x:v>
      </x:c>
      <x:c r="G75" s="28" t="n">
        <x:v>46290</x:v>
      </x:c>
      <x:c r="H75" s="4" t="str">
        <x:v>Radio identity / AIS and static specification sections may differ or be stale. Not certificate-verified.</x:v>
      </x:c>
    </x:row>
    <x:row r="76" ht="82" customHeight="1">
      <x:c r="A76" s="20" t="str">
        <x:v>B721</x:v>
      </x:c>
      <x:c r="B76" s="20" t="str">
        <x:v>Oceanco</x:v>
      </x:c>
      <x:c r="C76" s="4" t="str">
        <x:v>Builder</x:v>
      </x:c>
      <x:c r="D76" s="4" t="str">
        <x:v>Koru</x:v>
      </x:c>
      <x:c r="E76" s="4" t="str">
        <x:v>Current published name; length, beam, delivery year; design team; selected features</x:v>
      </x:c>
      <x:c r="F76" s="4" t="str">
        <x:v>https://www.oceancoyacht.com/fleet/koru/</x:v>
      </x:c>
      <x:c r="G76" s="28" t="n">
        <x:v>46290</x:v>
      </x:c>
      <x:c r="H76" s="4" t="str">
        <x:v>Builder marketing particulars; not statutory certificates.</x:v>
      </x:c>
    </x:row>
    <x:row r="77" ht="82" customHeight="1">
      <x:c r="A77" s="20" t="str">
        <x:v>V721</x:v>
      </x:c>
      <x:c r="B77" s="20" t="str">
        <x:v>VesselFinder</x:v>
      </x:c>
      <x:c r="C77" s="4" t="str">
        <x:v>AIS / vessel database</x:v>
      </x:c>
      <x:c r="D77" s="4" t="str">
        <x:v>Koru</x:v>
      </x:c>
      <x:c r="E77" s="4" t="str">
        <x:v>IMO, MMSI, call sign, flag; static GT, dimensions and year; former identities</x:v>
      </x:c>
      <x:c r="F77" s="4" t="str">
        <x:v>https://www.vesselfinder.com/vessels/details/9857298</x:v>
      </x:c>
      <x:c r="G77" s="28" t="n">
        <x:v>46290</x:v>
      </x:c>
      <x:c r="H77" s="4" t="str">
        <x:v>Radio identity / AIS and static specification sections may differ or be stale. Not certificate-verified.</x:v>
      </x:c>
    </x:row>
    <x:row r="78" ht="82" customHeight="1">
      <x:c r="A78" s="20" t="str">
        <x:v>B722</x:v>
      </x:c>
      <x:c r="B78" s="20" t="str">
        <x:v>Oceanco</x:v>
      </x:c>
      <x:c r="C78" s="4" t="str">
        <x:v>Builder</x:v>
      </x:c>
      <x:c r="D78" s="4" t="str">
        <x:v>Leviathan</x:v>
      </x:c>
      <x:c r="E78" s="4" t="str">
        <x:v>Current published name; length, beam, delivery year; design team; selected features</x:v>
      </x:c>
      <x:c r="F78" s="4" t="str">
        <x:v>https://www.oceancoyacht.com/fleet/leviathan/</x:v>
      </x:c>
      <x:c r="G78" s="28" t="n">
        <x:v>46290</x:v>
      </x:c>
      <x:c r="H78" s="4" t="str">
        <x:v>Builder marketing particulars; not statutory certificates.</x:v>
      </x:c>
    </x:row>
    <x:row r="79" ht="82" customHeight="1">
      <x:c r="A79" s="20" t="str">
        <x:v>V722</x:v>
      </x:c>
      <x:c r="B79" s="20" t="str">
        <x:v>VesselFinder</x:v>
      </x:c>
      <x:c r="C79" s="4" t="str">
        <x:v>AIS / vessel database</x:v>
      </x:c>
      <x:c r="D79" s="4" t="str">
        <x:v>Leviathan</x:v>
      </x:c>
      <x:c r="E79" s="4" t="str">
        <x:v>IMO, MMSI, call sign, flag; static GT, dimensions and year; former identities</x:v>
      </x:c>
      <x:c r="F79" s="4" t="str">
        <x:v>https://www.vesselfinder.com/vessels/details/9921491</x:v>
      </x:c>
      <x:c r="G79" s="28" t="n">
        <x:v>46290</x:v>
      </x:c>
      <x:c r="H79" s="4" t="str">
        <x:v>Radio identity / AIS and static specification sections may differ or be stale. Not certificate-verified.</x:v>
      </x:c>
    </x:row>
    <x:row r="80" ht="82" customHeight="1">
      <x:c r="A80" s="20" t="str">
        <x:v>B726</x:v>
      </x:c>
      <x:c r="B80" s="20" t="str">
        <x:v>Oceanco</x:v>
      </x:c>
      <x:c r="C80" s="4" t="str">
        <x:v>Builder</x:v>
      </x:c>
      <x:c r="D80" s="4" t="str">
        <x:v>DreAMBoat</x:v>
      </x:c>
      <x:c r="E80" s="4" t="str">
        <x:v>Current published name; length, beam, delivery year; design team; selected features</x:v>
      </x:c>
      <x:c r="F80" s="4" t="str">
        <x:v>https://www.oceancoyacht.com/fleet/dreamboat/</x:v>
      </x:c>
      <x:c r="G80" s="28" t="n">
        <x:v>46290</x:v>
      </x:c>
      <x:c r="H80" s="4" t="str">
        <x:v>Builder marketing particulars; not statutory certificates.</x:v>
      </x:c>
    </x:row>
    <x:row r="81" ht="82" customHeight="1">
      <x:c r="A81" s="20" t="str">
        <x:v>V726</x:v>
      </x:c>
      <x:c r="B81" s="20" t="str">
        <x:v>VesselFinder</x:v>
      </x:c>
      <x:c r="C81" s="4" t="str">
        <x:v>AIS / vessel database</x:v>
      </x:c>
      <x:c r="D81" s="4" t="str">
        <x:v>DreAMBoat</x:v>
      </x:c>
      <x:c r="E81" s="4" t="str">
        <x:v>IMO, MMSI, call sign, flag; static GT, dimensions and year; former identities</x:v>
      </x:c>
      <x:c r="F81" s="4" t="str">
        <x:v>https://www.vesselfinder.com/vessels/details/9967093</x:v>
      </x:c>
      <x:c r="G81" s="28" t="n">
        <x:v>46290</x:v>
      </x:c>
      <x:c r="H81" s="4" t="str">
        <x:v>Radio identity / AIS and static specification sections may differ or be stale. Not certificate-verified.</x:v>
      </x:c>
    </x:row>
    <x:row r="82" ht="82" customHeight="1">
      <x:c r="A82" s="20" t="str">
        <x:v>IMO_ID</x:v>
      </x:c>
      <x:c r="B82" s="20" t="str">
        <x:v>International Maritime Organization</x:v>
      </x:c>
      <x:c r="C82" s="4" t="str">
        <x:v>International authority</x:v>
      </x:c>
      <x:c r="D82" s="4" t="str">
        <x:v>Methodology</x:v>
      </x:c>
      <x:c r="E82" s="4" t="str">
        <x:v>Permanent IMO identification; never reassigned</x:v>
      </x:c>
      <x:c r="F82" s="4" t="str">
        <x:v>https://www.imo.org/en/ourwork/msas/pages/imo-identification-number-scheme.aspx</x:v>
      </x:c>
      <x:c r="G82" s="28" t="n">
        <x:v>46290</x:v>
      </x:c>
      <x:c r="H82" s="4" t="str"/>
    </x:row>
    <x:row r="83" ht="82" customHeight="1">
      <x:c r="A83" s="20" t="str">
        <x:v>IMO_GT</x:v>
      </x:c>
      <x:c r="B83" s="20" t="str">
        <x:v>International Maritime Organization</x:v>
      </x:c>
      <x:c r="C83" s="4" t="str">
        <x:v>International authority</x:v>
      </x:c>
      <x:c r="D83" s="4" t="str">
        <x:v>Methodology</x:v>
      </x:c>
      <x:c r="E83" s="4" t="str">
        <x:v>Gross tonnage is a function of enclosed moulded volume</x:v>
      </x:c>
      <x:c r="F83" s="4" t="str">
        <x:v>https://www.imo.org/en/about/conventions/pages/international-convention-on-tonnage-measurement-of-ships.aspx</x:v>
      </x:c>
      <x:c r="G83" s="28" t="n">
        <x:v>46290</x:v>
      </x:c>
      <x:c r="H83" s="4" t="str"/>
    </x:row>
  </x:sheetData>
  <x:mergeCells>
    <x:mergeCell ref="A1:H1"/>
    <x:mergeCell ref="A2:H2"/>
  </x:mergeCells>
  <x:pageMargins left="0.7" right="0.7" top="0.75" bottom="0.75" header="0.3" footer="0.3"/>
  <x:tableParts count="1">
    <x:tablePart xmlns:r="http://schemas.openxmlformats.org/officeDocument/2006/relationships" r:id="R058c100447594710"/>
  </x:tableParts>
</x:worksheet>
</file>

<file path=xl/worksheets/sheet8.xml><?xml version="1.0" encoding="utf-8"?>
<x:worksheet xmlns:x="http://schemas.openxmlformats.org/spreadsheetml/2006/main">
  <x:sheetFormatPr defaultRowHeight="15"/>
  <x:cols>
    <x:col min="1" max="1" width="13" hidden="0" customWidth="1"/>
    <x:col min="2" max="2" width="28" hidden="0" customWidth="1"/>
    <x:col min="3" max="3" width="40" hidden="0" customWidth="1"/>
    <x:col min="4" max="4" width="40" hidden="0" customWidth="1"/>
    <x:col min="5" max="5" width="40" hidden="0" customWidth="1"/>
    <x:col min="6" max="6" width="15" hidden="0" customWidth="1"/>
    <x:col min="7" max="7" width="40" hidden="0" customWidth="1"/>
  </x:cols>
  <x:sheetData>
    <x:row r="1" ht="38" customHeight="1">
      <x:c r="A1" s="9" t="str">
        <x:v>DATA GAPS  |  WHAT REMAINS TO BE VERIFIED</x:v>
      </x:c>
      <x:c r="B1" s="9"/>
      <x:c r="C1" s="9"/>
      <x:c r="D1" s="9"/>
      <x:c r="E1" s="9"/>
      <x:c r="F1" s="9"/>
      <x:c r="G1" s="9"/>
    </x:row>
    <x:row r="2" ht="36" customHeight="1">
      <x:c r="A2" s="12" t="str">
        <x:v>Operational use requires certificate checks • empty public fields are not zero or 'not fitted' • gaps are intentionally visible</x:v>
      </x:c>
      <x:c r="B2" s="12"/>
      <x:c r="C2" s="12"/>
      <x:c r="D2" s="12"/>
      <x:c r="E2" s="12"/>
      <x:c r="F2" s="12"/>
      <x:c r="G2" s="12"/>
    </x:row>
    <x:row r="3" ht="9" customHeight="1">
      <x:c r="A3" s="4"/>
      <x:c r="B3" s="4"/>
      <x:c r="C3" s="4"/>
      <x:c r="D3" s="4"/>
      <x:c r="E3" s="4"/>
      <x:c r="F3" s="4"/>
      <x:c r="G3" s="4"/>
    </x:row>
    <x:row r="4" ht="36" customHeight="1">
      <x:c r="A4" s="16" t="str">
        <x:v>Priority</x:v>
      </x:c>
      <x:c r="B4" s="16" t="str">
        <x:v>Scope / vessel</x:v>
      </x:c>
      <x:c r="C4" s="16" t="str">
        <x:v>Field or issue</x:v>
      </x:c>
      <x:c r="D4" s="16" t="str">
        <x:v>Treatment in this release</x:v>
      </x:c>
      <x:c r="E4" s="16" t="str">
        <x:v>Evidence needed to close</x:v>
      </x:c>
      <x:c r="F4" s="16" t="str">
        <x:v>Status</x:v>
      </x:c>
      <x:c r="G4" s="16" t="str">
        <x:v>Source / reference</x:v>
      </x:c>
    </x:row>
    <x:row r="5" ht="84" customHeight="1">
      <x:c r="A5" s="20" t="str">
        <x:v>Critical</x:v>
      </x:c>
      <x:c r="B5" s="20" t="str">
        <x:v>All vessels</x:v>
      </x:c>
      <x:c r="C5" s="4" t="str">
        <x:v>Certified identity / registry</x:v>
      </x:c>
      <x:c r="D5" s="4" t="str">
        <x:v>Published IMO, MMSI, call sign and flag included; no registry or radio licence inspected.</x:v>
      </x:c>
      <x:c r="E5" s="4" t="str">
        <x:v>Current Certificate of Registry and ship radio licence, matched by IMO.</x:v>
      </x:c>
      <x:c r="F5" s="4" t="str">
        <x:v>Open</x:v>
      </x:c>
      <x:c r="G5" s="4" t="str">
        <x:v>Vessel Register / individual database URLs</x:v>
      </x:c>
    </x:row>
    <x:row r="6" ht="84" customHeight="1">
      <x:c r="A6" s="20" t="str">
        <x:v>Critical</x:v>
      </x:c>
      <x:c r="B6" s="20" t="str">
        <x:v>Draak / Y709</x:v>
      </x:c>
      <x:c r="C6" s="4" t="str">
        <x:v>Post-2026 rebuild tonnage</x:v>
      </x:c>
      <x:c r="D6" s="4" t="str">
        <x:v>92.9m builder LOA selected; 2894GT carried only as unverified database observation.</x:v>
      </x:c>
      <x:c r="E6" s="4" t="str">
        <x:v>Post-rebuild International Tonnage Certificate; updated registry / class particulars.</x:v>
      </x:c>
      <x:c r="F6" s="4" t="str">
        <x:v>Open</x:v>
      </x:c>
      <x:c r="G6" s="4" t="str">
        <x:v>https://www.oceancoyacht.com/fleet/draak/</x:v>
      </x:c>
    </x:row>
    <x:row r="7" ht="84" customHeight="1">
      <x:c r="A7" s="20" t="str">
        <x:v>High</x:v>
      </x:c>
      <x:c r="B7" s="20" t="str">
        <x:v>DreAMBoat / Y726</x:v>
      </x:c>
      <x:c r="C7" s="4" t="str">
        <x:v>4550GT vs 4525GT</x:v>
      </x:c>
      <x:c r="D7" s="4" t="str">
        <x:v>4550GT builder/Lateral selected; 4525GT database retained in comparison.</x:v>
      </x:c>
      <x:c r="E7" s="4" t="str">
        <x:v>Current International Tonnage Certificate.</x:v>
      </x:c>
      <x:c r="F7" s="4" t="str">
        <x:v>Open</x:v>
      </x:c>
      <x:c r="G7" s="4" t="str">
        <x:v>https://www.oceancoyacht.com/fleet/dreamboat/</x:v>
      </x:c>
    </x:row>
    <x:row r="8" ht="84" customHeight="1">
      <x:c r="A8" s="20" t="str">
        <x:v>High</x:v>
      </x:c>
      <x:c r="B8" s="20" t="str">
        <x:v>AQuiJo / Y711</x:v>
      </x:c>
      <x:c r="C8" s="4" t="str">
        <x:v>1540GT vs 1538GT; 85m vs 86m</x:v>
      </x:c>
      <x:c r="D8" s="4" t="str">
        <x:v>Database 1540GT and builder 85m selected; broker observations retained separately.</x:v>
      </x:c>
      <x:c r="E8" s="4" t="str">
        <x:v>Current tonnage certificate and certified principal particulars.</x:v>
      </x:c>
      <x:c r="F8" s="4" t="str">
        <x:v>Open</x:v>
      </x:c>
      <x:c r="G8" s="4" t="str">
        <x:v>https://y.co/yacht/aquijo</x:v>
      </x:c>
    </x:row>
    <x:row r="9" ht="84" customHeight="1">
      <x:c r="A9" s="20" t="str">
        <x:v>High</x:v>
      </x:c>
      <x:c r="B9" s="20" t="str">
        <x:v>Seven Seas / Y720</x:v>
      </x:c>
      <x:c r="C9" s="4" t="str">
        <x:v>Static dimensions and build year</x:v>
      </x:c>
      <x:c r="D9" s="4" t="str">
        <x:v>Database 125 x 17m / 2022 quarantined; builder 109 x 16m / 2023 selected.</x:v>
      </x:c>
      <x:c r="E9" s="4" t="str">
        <x:v>Confirm database record correction against registry / builder particulars.</x:v>
      </x:c>
      <x:c r="F9" s="4" t="str">
        <x:v>Open</x:v>
      </x:c>
      <x:c r="G9" s="4" t="str">
        <x:v>https://www.vesselfinder.com/vessels/details/9840178</x:v>
      </x:c>
    </x:row>
    <x:row r="10" ht="84" customHeight="1">
      <x:c r="A10" s="20" t="str">
        <x:v>High</x:v>
      </x:c>
      <x:c r="B10" s="20" t="str">
        <x:v>Koru / Y721</x:v>
      </x:c>
      <x:c r="C10" s="4" t="str">
        <x:v>125m vs 127m; beam variants</x:v>
      </x:c>
      <x:c r="D10" s="4" t="str">
        <x:v>Builder 125 x 17.2m selected. Naval-architect body 127 x 16m retained as conflict.</x:v>
      </x:c>
      <x:c r="E10" s="4" t="str">
        <x:v>Approved general arrangement / certified dimensions and clarification from builder/naval architect.</x:v>
      </x:c>
      <x:c r="F10" s="4" t="str">
        <x:v>Open</x:v>
      </x:c>
      <x:c r="G10" s="4" t="str">
        <x:v>https://www.lateral.engineering/projects/koru-125m-410ft/</x:v>
      </x:c>
    </x:row>
    <x:row r="11" ht="84" customHeight="1">
      <x:c r="A11" s="20" t="str">
        <x:v>High</x:v>
      </x:c>
      <x:c r="B11" s="20" t="str">
        <x:v>Batello / Y701</x:v>
      </x:c>
      <x:c r="C11" s="4" t="str">
        <x:v>Beam 14.2m vs 12m</x:v>
      </x:c>
      <x:c r="D11" s="4" t="str">
        <x:v>Builder beam retained; database value not silently merged.</x:v>
      </x:c>
      <x:c r="E11" s="4" t="str">
        <x:v>Certified dimensions or correction from database provider.</x:v>
      </x:c>
      <x:c r="F11" s="4" t="str">
        <x:v>Open</x:v>
      </x:c>
      <x:c r="G11" s="4" t="str">
        <x:v>https://www.vesselfinder.com/vessels/details/1009118</x:v>
      </x:c>
    </x:row>
    <x:row r="12" ht="84" customHeight="1">
      <x:c r="A12" s="20" t="str">
        <x:v>High</x:v>
      </x:c>
      <x:c r="B12" s="20" t="str">
        <x:v>Amore Vero / Y708</x:v>
      </x:c>
      <x:c r="C12" s="4" t="str">
        <x:v>LOA 85.6m vs 88.39m</x:v>
      </x:c>
      <x:c r="D12" s="4" t="str">
        <x:v>Builder dimension selected; database discrepancy retained.</x:v>
      </x:c>
      <x:c r="E12" s="4" t="str">
        <x:v>Certified principal particulars.</x:v>
      </x:c>
      <x:c r="F12" s="4" t="str">
        <x:v>Open</x:v>
      </x:c>
      <x:c r="G12" s="4" t="str">
        <x:v>https://www.oceancoyacht.com/fleet/amore-vero/</x:v>
      </x:c>
    </x:row>
    <x:row r="13" ht="84" customHeight="1">
      <x:c r="A13" s="20" t="str">
        <x:v>High</x:v>
      </x:c>
      <x:c r="B13" s="20" t="str">
        <x:v>KAOS / Y714</x:v>
      </x:c>
      <x:c r="C13" s="4" t="str">
        <x:v>LOA 110m vs 105m</x:v>
      </x:c>
      <x:c r="D13" s="4" t="str">
        <x:v>Builder dimension selected; database discrepancy retained.</x:v>
      </x:c>
      <x:c r="E13" s="4" t="str">
        <x:v>Certified principal particulars.</x:v>
      </x:c>
      <x:c r="F13" s="4" t="str">
        <x:v>Open</x:v>
      </x:c>
      <x:c r="G13" s="4" t="str">
        <x:v>https://www.oceancoyacht.com/fleet/kaos/</x:v>
      </x:c>
    </x:row>
    <x:row r="14" ht="84" customHeight="1">
      <x:c r="A14" s="20" t="str">
        <x:v>High</x:v>
      </x:c>
      <x:c r="B14" s="20" t="str">
        <x:v>Leviathan / Y722</x:v>
      </x:c>
      <x:c r="C14" s="4" t="str">
        <x:v>111 x 17.8m vs 110 x 15m</x:v>
      </x:c>
      <x:c r="D14" s="4" t="str">
        <x:v>Builder and naval-architect dimensions selected.</x:v>
      </x:c>
      <x:c r="E14" s="4" t="str">
        <x:v>Current approved principal particulars / database correction.</x:v>
      </x:c>
      <x:c r="F14" s="4" t="str">
        <x:v>Open</x:v>
      </x:c>
      <x:c r="G14" s="4" t="str">
        <x:v>https://www.lateral.engineering/projects/leviathan/</x:v>
      </x:c>
    </x:row>
    <x:row r="15" ht="84" customHeight="1">
      <x:c r="A15" s="20" t="str">
        <x:v>High</x:v>
      </x:c>
      <x:c r="B15" s="20" t="str">
        <x:v>Nirvana / Amore Vero</x:v>
      </x:c>
      <x:c r="C15" s="4" t="str">
        <x:v>Flag inconsistency</x:v>
      </x:c>
      <x:c r="D15" s="4" t="str">
        <x:v>AIS Malaysia recorded, but static Unknown also noted.</x:v>
      </x:c>
      <x:c r="E15" s="4" t="str">
        <x:v>Current registry certificate and radio licence.</x:v>
      </x:c>
      <x:c r="F15" s="4" t="str">
        <x:v>Open</x:v>
      </x:c>
      <x:c r="G15" s="4" t="str">
        <x:v>V707 / V708 in Sources</x:v>
      </x:c>
    </x:row>
    <x:row r="16" ht="84" customHeight="1">
      <x:c r="A16" s="20" t="str">
        <x:v>High</x:v>
      </x:c>
      <x:c r="B16" s="20" t="str">
        <x:v>AQuiJo / Y711</x:v>
      </x:c>
      <x:c r="C16" s="4" t="str">
        <x:v>Stale published AIS identity</x:v>
      </x:c>
      <x:c r="D16" s="4" t="str">
        <x:v>Published MMSI/call/flag included with 303-day age warning observed at retrieval.</x:v>
      </x:c>
      <x:c r="E16" s="4" t="str">
        <x:v>Current registry and radio identity confirmation.</x:v>
      </x:c>
      <x:c r="F16" s="4" t="str">
        <x:v>Open</x:v>
      </x:c>
      <x:c r="G16" s="4" t="str">
        <x:v>https://www.vesselfinder.com/vessels/details/1012529</x:v>
      </x:c>
    </x:row>
    <x:row r="17" ht="84" customHeight="1">
      <x:c r="A17" s="20" t="str">
        <x:v>High</x:v>
      </x:c>
      <x:c r="B17" s="20" t="str">
        <x:v>All vessels</x:v>
      </x:c>
      <x:c r="C17" s="4" t="str">
        <x:v>Net tonnage (NT), certified length/LBP/LWL, moulded breadth/depth</x:v>
      </x:c>
      <x:c r="D17" s="4" t="str">
        <x:v>Not derived from overall dimensions. No consistent certificate-backed set captured.</x:v>
      </x:c>
      <x:c r="E17" s="4" t="str">
        <x:v>ITC, Certificate of Registry, class particulars and approved general arrangement.</x:v>
      </x:c>
      <x:c r="F17" s="4" t="str">
        <x:v>Open</x:v>
      </x:c>
      <x:c r="G17" s="4" t="str">
        <x:v>IMO_GT / IMO_ID in Sources</x:v>
      </x:c>
    </x:row>
    <x:row r="18" ht="84" customHeight="1">
      <x:c r="A18" s="20" t="str">
        <x:v>High</x:v>
      </x:c>
      <x:c r="B18" s="20" t="str">
        <x:v>All vessels</x:v>
      </x:c>
      <x:c r="C18" s="4" t="str">
        <x:v>Design/max draft, displacement, load condition</x:v>
      </x:c>
      <x:c r="D18" s="4" t="str">
        <x:v>Broker draft separated from live AIS draft; no live AIS draft used as design draft.</x:v>
      </x:c>
      <x:c r="E18" s="4" t="str">
        <x:v>Load Line Certificate, approved stability book and load-condition definition.</x:v>
      </x:c>
      <x:c r="F18" s="4" t="str">
        <x:v>Open</x:v>
      </x:c>
      <x:c r="G18" s="4" t="str">
        <x:v>Technical Particulars / Field Evidence</x:v>
      </x:c>
    </x:row>
    <x:row r="19" ht="84" customHeight="1">
      <x:c r="A19" s="20" t="str">
        <x:v>High</x:v>
      </x:c>
      <x:c r="B19" s="20" t="str">
        <x:v>All vessels</x:v>
      </x:c>
      <x:c r="C19" s="4" t="str">
        <x:v>Class notation / statutory operating status / maximum POB</x:v>
      </x:c>
      <x:c r="D19" s="4" t="str">
        <x:v>Only class society or accommodation where explicitly published. No uniform operational classification inferred.</x:v>
      </x:c>
      <x:c r="E19" s="4" t="str">
        <x:v>Current class status, class certificate/notation, relevant statutory certificates and safe-manning document.</x:v>
      </x:c>
      <x:c r="F19" s="4" t="str">
        <x:v>Open</x:v>
      </x:c>
      <x:c r="G19" s="4" t="str">
        <x:v>Technical Particulars</x:v>
      </x:c>
    </x:row>
    <x:row r="20" ht="84" customHeight="1">
      <x:c r="A20" s="20" t="str">
        <x:v>Medium</x:v>
      </x:c>
      <x:c r="B20" s="20" t="str">
        <x:v>All vessels</x:v>
      </x:c>
      <x:c r="C20" s="4" t="str">
        <x:v>Fuel / fresh-water capacities, generator load plan, range conditions</x:v>
      </x:c>
      <x:c r="D20" s="4" t="str">
        <x:v>Only specifically sourced machinery/range observations loaded; missing fields not estimated.</x:v>
      </x:c>
      <x:c r="E20" s="4" t="str">
        <x:v>Tank capacity plan; electrical load analysis; sea-trial/performance report.</x:v>
      </x:c>
      <x:c r="F20" s="4" t="str">
        <x:v>Open</x:v>
      </x:c>
      <x:c r="G20" s="4" t="str">
        <x:v>Field Evidence</x:v>
      </x:c>
    </x:row>
    <x:row r="21" ht="84" customHeight="1">
      <x:c r="A21" s="20" t="str">
        <x:v>Medium</x:v>
      </x:c>
      <x:c r="B21" s="20" t="str">
        <x:v>Batello / Y701</x:v>
      </x:c>
      <x:c r="C21" s="4" t="str">
        <x:v>Broker top speed 19kn / 20kn</x:v>
      </x:c>
      <x:c r="D21" s="4" t="str">
        <x:v>20kn specification table shown with internal conflict noted.</x:v>
      </x:c>
      <x:c r="E21" s="4" t="str">
        <x:v>Broker clarification / trial report.</x:v>
      </x:c>
      <x:c r="F21" s="4" t="str">
        <x:v>Open</x:v>
      </x:c>
      <x:c r="G21" s="4" t="str">
        <x:v>https://iyc.com/charter/batello/</x:v>
      </x:c>
    </x:row>
    <x:row r="22" ht="84" customHeight="1">
      <x:c r="A22" s="20" t="str">
        <x:v>Medium</x:v>
      </x:c>
      <x:c r="B22" s="20" t="str">
        <x:v>Barbara / Y715</x:v>
      </x:c>
      <x:c r="C22" s="4" t="str">
        <x:v>As-built vs current technical configuration</x:v>
      </x:c>
      <x:c r="D22" s="4" t="str">
        <x:v>Supplemental designer data is labelled as built in 2017.</x:v>
      </x:c>
      <x:c r="E22" s="4" t="str">
        <x:v>Latest post-refit specification / current approved plans.</x:v>
      </x:c>
      <x:c r="F22" s="4" t="str">
        <x:v>Open</x:v>
      </x:c>
      <x:c r="G22" s="4" t="str">
        <x:v>https://www.sorgiovanniinteriors.com.au/barbara/</x:v>
      </x:c>
    </x:row>
    <x:row r="23" ht="84" customHeight="1">
      <x:c r="A23" s="20" t="str">
        <x:v>Medium</x:v>
      </x:c>
      <x:c r="B23" s="20" t="str">
        <x:v>Y713 / Y723 / Y724 / Y725</x:v>
      </x:c>
      <x:c r="C23" s="4" t="str">
        <x:v>Unresolved build sequence slots</x:v>
      </x:c>
      <x:c r="D23" s="4" t="str">
        <x:v>No yacht, status or identifier invented for a numbering gap.</x:v>
      </x:c>
      <x:c r="E23" s="4" t="str">
        <x:v>Builder-confirmed historical build list or project records.</x:v>
      </x:c>
      <x:c r="F23" s="4" t="str">
        <x:v>Open</x:v>
      </x:c>
      <x:c r="G23" s="4" t="str">
        <x:v>Build Sequence</x:v>
      </x:c>
    </x:row>
    <x:row r="24" ht="84" customHeight="1">
      <x:c r="A24" s="20" t="str">
        <x:v>Medium</x:v>
      </x:c>
      <x:c r="B24" s="20" t="str">
        <x:v>Man of Steel / Y706</x:v>
      </x:c>
      <x:c r="C24" s="4" t="str">
        <x:v>Builder detail page unavailable</x:v>
      </x:c>
      <x:c r="D24" s="4" t="str">
        <x:v>Builder fleet page supplies LOA/year; database supplies beam.</x:v>
      </x:c>
      <x:c r="E24" s="4" t="str">
        <x:v>Builder individual vessel specification or current certified particulars.</x:v>
      </x:c>
      <x:c r="F24" s="4" t="str">
        <x:v>Open</x:v>
      </x:c>
      <x:c r="G24" s="4" t="str">
        <x:v>https://www.oceancoyacht.com/fleet/?pag=2</x:v>
      </x:c>
    </x:row>
    <x:row r="25" ht="84" customHeight="1">
      <x:c r="A25" s="20" t="str">
        <x:v>Medium</x:v>
      </x:c>
      <x:c r="B25" s="20" t="str">
        <x:v>All vessels</x:v>
      </x:c>
      <x:c r="C25" s="4" t="str">
        <x:v>Historical name / flag / radio change dates</x:v>
      </x:c>
      <x:c r="D25" s="4" t="str">
        <x:v>Former aliases retained without assigning unsupported change dates.</x:v>
      </x:c>
      <x:c r="E25" s="4" t="str">
        <x:v>Registry transcripts / Continuous Synopsis Record where applicable / dated radio licences.</x:v>
      </x:c>
      <x:c r="F25" s="4" t="str">
        <x:v>Open</x:v>
      </x:c>
      <x:c r="G25" s="4" t="str">
        <x:v>Vessel Register / database history</x:v>
      </x:c>
    </x:row>
    <x:row r="26" ht="84" customHeight="1">
      <x:c r="A26" s="20" t="str">
        <x:v>Medium</x:v>
      </x:c>
      <x:c r="B26" s="20" t="str">
        <x:v>Scope extension</x:v>
      </x:c>
      <x:c r="C26" s="4" t="str">
        <x:v>Earlier builds and future projects</x:v>
      </x:c>
      <x:c r="D26" s="4" t="str">
        <x:v>This release covers the identified Y7xx delivered-vessel set only; it is not an all-time Oceanco orderbook.</x:v>
      </x:c>
      <x:c r="E26" s="4" t="str">
        <x:v>Agree wider scope and obtain builder orderbook / historical build-number list.</x:v>
      </x:c>
      <x:c r="F26" s="4" t="str">
        <x:v>Open</x:v>
      </x:c>
      <x:c r="G26" s="4" t="str">
        <x:v>https://www.oceancoyacht.com/fleet/</x:v>
      </x:c>
    </x:row>
  </x:sheetData>
  <x:mergeCells>
    <x:mergeCell ref="A1:G1"/>
    <x:mergeCell ref="A2:G2"/>
  </x:mergeCells>
  <x:conditionalFormatting sqref="A5:A26">
    <x:cfRule type="expression" dxfId="2" priority="1">
      <x:formula>A5="Critical"</x:formula>
    </x:cfRule>
  </x:conditionalFormatting>
  <x:dataValidations count="1">
    <x:dataValidation type="list" sqref="F5:F26">
      <x:formula1>"Open,Evidence received,Verified,Not applicable"</x:formula1>
    </x:dataValidation>
  </x:dataValidations>
  <x:pageMargins left="0.7" right="0.7" top="0.75" bottom="0.75" header="0.3" footer="0.3"/>
  <x:tableParts count="1">
    <x:tablePart xmlns:r="http://schemas.openxmlformats.org/officeDocument/2006/relationships" r:id="R5f3169ea887741a6"/>
  </x:tableParts>
</x:worksheet>
</file>
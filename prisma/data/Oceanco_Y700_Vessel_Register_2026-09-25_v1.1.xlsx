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Vessel Register" state="visible" r:id="rId5"/>
    <sheet sheetId="3" name="Technical Particulars" state="visible" r:id="rId6"/>
    <sheet sheetId="4" name="Source Comparison" state="visible" r:id="rId7"/>
    <sheet sheetId="5" name="Build Sequence" state="visible" r:id="rId8"/>
    <sheet sheetId="6" name="Field Evidence" state="visible" r:id="rId9"/>
    <sheet sheetId="7" name="Sources" state="visible" r:id="rId10"/>
    <sheet sheetId="8" name="Data Gaps" state="visible" r:id="rId11"/>
    <sheet sheetId="9" name="Audit" state="visible" r:id="rId12"/>
  </sheets>
  <calcPr calcId="171027" fullCalcOnLoad="1"/>
</workbook>
</file>

<file path=xl/sharedStrings.xml><?xml version="1.0" encoding="utf-8"?>
<sst xmlns="http://schemas.openxmlformats.org/spreadsheetml/2006/main" count="6002" uniqueCount="1031">
  <si>
    <t xml:space="preserve">OCEANCO  /  Y700 SERIES
VESSEL &amp; PARTICULARS REGISTER</t>
  </si>
  <si>
    <t>PUBLIC-SOURCE WORKING REGISTER  •  25 SEPTEMBER 2026  •  VERSION 1.1 (AUDITED)</t>
  </si>
  <si>
    <t>IDENTIFIED VESSELS</t>
  </si>
  <si>
    <t>MMSI RECORDS</t>
  </si>
  <si>
    <t>FIRST DELIVERY</t>
  </si>
  <si>
    <t>LATEST DELIVERY</t>
  </si>
  <si>
    <t>Scope: “seven series” is interpreted as Oceanco's Y7xx build family. The register maps 22 identified vessels between Y701 and Y726, delivered from 2007 to 2025. Y713, Y723, Y724 and Y725 remain unmapped; no project status is inferred from those gaps.</t>
  </si>
  <si>
    <t>WORKSHEET</t>
  </si>
  <si>
    <t>WHAT IT CONTAINS</t>
  </si>
  <si>
    <t>Vessel Register</t>
  </si>
  <si>
    <t>One row per IMO: name history, yard code, radio identity, flag, delivery year, overall dimensions, GT and source links.</t>
  </si>
  <si>
    <t>Technical Particulars</t>
  </si>
  <si>
    <t>Comparable draft, machinery, materials, design, performance and accommodation fields where supported.</t>
  </si>
  <si>
    <t>Source Comparison</t>
  </si>
  <si>
    <t>Selected public figures beside raw database values, with formula-driven differences and review flags.</t>
  </si>
  <si>
    <t>Build Sequence</t>
  </si>
  <si>
    <t>A slot-by-slot Y701–Y726 cross-reference, including the four unresolved number gaps.</t>
  </si>
  <si>
    <t>Field Evidence</t>
  </si>
  <si>
    <t>Every captured observation linked to its source, units, current/historical basis and caveat.</t>
  </si>
  <si>
    <t>Sources</t>
  </si>
  <si>
    <t>Publisher, source type, URL, retrieval date and limitations for each source.</t>
  </si>
  <si>
    <t>Data Gaps</t>
  </si>
  <si>
    <t>Certificate requirements, material conflicts, missing fields and an editable verification status.</t>
  </si>
  <si>
    <t>READ BEFORE USING THE DATA</t>
  </si>
  <si>
    <t>Not certificate-verified. This is a researched public-source compilation, not an official builder, flag or class register. Current registry, radio, tonnage and class documents take precedence for operational use.</t>
  </si>
  <si>
    <t>Selection policy: prefer current Oceanco overall dimensions; retain database dimensions separately. Prefer builder GT when explicitly published, otherwise record database GT as a working value. “Overall beam” is not automatically moulded breadth.</t>
  </si>
  <si>
    <t>Identity and history: IMO is the linking key. Names, MMSI, call sign and flag are observations at retrieval and may change or be stale. Reused names do not identify the same hull. No live positions or voyage tracking are included.</t>
  </si>
  <si>
    <t>Missing data: blank numeric fields and “Not verified” do not mean zero, absent or not fitted. No live AIS draught was used as design/max draught. Public guest counts are not certified maximum persons on board.</t>
  </si>
  <si>
    <t>Units: length / beam / draft in metres; speeds in knots; range in nautical miles; deadweight in metric tonnes. GT is a dimensionless tonnage measure derived from enclosed volume, not the vessel's weight.</t>
  </si>
  <si>
    <t>Priority checks: Draak's post-rebuild tonnage; DreAMBoat's 4,550 / 4,525GT difference; AQuiJo's tonnage/length variants; Seven Seas' conflicting database dimensions/year; Koru's published length/beam differences.</t>
  </si>
  <si>
    <t>Update method: match by IMO; add each new observation and date to Field Evidence; keep previous observations; obtain a primary or statutory document to settle conflicts; then update the preferred value and its source. Do not overwrite unresolved alternatives.</t>
  </si>
  <si>
    <t>Version 1.1: external audit on 25 Sep 2026. Corrections to Y709 (GT), Y712 (naval architecture, interior), Y716 (former names); refit years added for Y714 and Y717; three data gaps added. See the Audit sheet.</t>
  </si>
  <si>
    <t>Evidence observations / source records</t>
  </si>
  <si>
    <t>Method references: IMO_ID and IMO_GT in Sources. Research snapshot, not a guarantee of present registration or configuration.</t>
  </si>
  <si>
    <t>OCEANCO  |  Y700 VESSEL REGISTER</t>
  </si>
  <si>
    <t>22 identified vessels • research snapshot 25 September 2026 • one record per IMO • public-source working data, not certificate-verified</t>
  </si>
  <si>
    <t>Yard ID</t>
  </si>
  <si>
    <t>Published vessel name</t>
  </si>
  <si>
    <t>Former names / aliases</t>
  </si>
  <si>
    <t>Delivered (year)</t>
  </si>
  <si>
    <t>Vessel type</t>
  </si>
  <si>
    <t>IMO</t>
  </si>
  <si>
    <t>MMSI</t>
  </si>
  <si>
    <t>Call sign</t>
  </si>
  <si>
    <t>Published flag</t>
  </si>
  <si>
    <t>Preferred LOA (m)</t>
  </si>
  <si>
    <t>Preferred beam (m)</t>
  </si>
  <si>
    <t>Working GT</t>
  </si>
  <si>
    <t>LOA / beam basis</t>
  </si>
  <si>
    <t>GT basis / qualification</t>
  </si>
  <si>
    <t>Identity qualification</t>
  </si>
  <si>
    <t>Dimensions / name notes</t>
  </si>
  <si>
    <t>Builder URL</t>
  </si>
  <si>
    <t>Database URL</t>
  </si>
  <si>
    <t>Identity supplement URL</t>
  </si>
  <si>
    <t>Checked on</t>
  </si>
  <si>
    <t>Y701</t>
  </si>
  <si>
    <t>Batello</t>
  </si>
  <si>
    <t>Amevi; Aalto</t>
  </si>
  <si>
    <t>Motor yacht</t>
  </si>
  <si>
    <t>1009118</t>
  </si>
  <si>
    <t>538070869</t>
  </si>
  <si>
    <t>V7YZ2</t>
  </si>
  <si>
    <t>Marshall Islands</t>
  </si>
  <si>
    <t>Oceanco current fleet page (published overall dimensions)</t>
  </si>
  <si>
    <t>VesselFinder static particulars</t>
  </si>
  <si>
    <t>Published database identity; current registry/radio licence not inspected.</t>
  </si>
  <si>
    <t>Builder beam 14.2m vs database 12.0m. Broker top-speed values conflict (19/20kn).</t>
  </si>
  <si>
    <t>https://www.oceancoyacht.com/fleet/batello/</t>
  </si>
  <si>
    <t>https://www.vesselfinder.com/vessels/details/1009118</t>
  </si>
  <si>
    <t>Y702</t>
  </si>
  <si>
    <t>Alfa Nero</t>
  </si>
  <si>
    <t>None identified</t>
  </si>
  <si>
    <t>1009376</t>
  </si>
  <si>
    <t>249108000</t>
  </si>
  <si>
    <t>9HA6112</t>
  </si>
  <si>
    <t>Malta</t>
  </si>
  <si>
    <t>Builder LOA 82m vs database 81.27m. Broker draft is not a certified maximum draft.</t>
  </si>
  <si>
    <t>https://www.oceancoyacht.com/fleet/alfa-nero/</t>
  </si>
  <si>
    <t>https://www.vesselfinder.com/vessels/details/1009376</t>
  </si>
  <si>
    <t>Y703</t>
  </si>
  <si>
    <t>Wheels</t>
  </si>
  <si>
    <t>Anastasia</t>
  </si>
  <si>
    <t>1009388</t>
  </si>
  <si>
    <t>215279000</t>
  </si>
  <si>
    <t>9HA5036</t>
  </si>
  <si>
    <t>Builder beam 13.5m; broker 13.49m; database 13.38m.</t>
  </si>
  <si>
    <t>https://www.oceancoyacht.com/fleet/wheels/</t>
  </si>
  <si>
    <t>https://www.vesselfinder.com/vessels/details/1009388</t>
  </si>
  <si>
    <t>Y704</t>
  </si>
  <si>
    <t>Vibrant Curiosity</t>
  </si>
  <si>
    <t>1010002</t>
  </si>
  <si>
    <t>248983000</t>
  </si>
  <si>
    <t>9HA4898</t>
  </si>
  <si>
    <t>Call sign supplemented from MarineTraffic; use IMO match, not legacy MMSI embedded in URL.</t>
  </si>
  <si>
    <t>Builder 85.5 x 14.2m; database 85.43 x 13.8m.</t>
  </si>
  <si>
    <t>https://www.oceancoyacht.com/fleet/vibrant-curiosity/</t>
  </si>
  <si>
    <t>https://www.vesselfinder.com/vessels/details/1010002</t>
  </si>
  <si>
    <t>https://www.marinetraffic.com/es/ais/details/ships/shipid%3A194250/mmsi%3A235068366/imo%3A1010002/vessel%3AVIBRANT%20CURIOSITY</t>
  </si>
  <si>
    <t>Y705</t>
  </si>
  <si>
    <t>Sunrays</t>
  </si>
  <si>
    <t>1010351</t>
  </si>
  <si>
    <t>319015100</t>
  </si>
  <si>
    <t>ZGAF2</t>
  </si>
  <si>
    <t>Cayman Islands</t>
  </si>
  <si>
    <t>Builder beam 14.2m; Edmiston 13.8m; database 14.24m.</t>
  </si>
  <si>
    <t>https://www.oceancoyacht.com/fleet/sunrays/</t>
  </si>
  <si>
    <t>https://www.vesselfinder.com/vessels/details/1010351</t>
  </si>
  <si>
    <t>Y706</t>
  </si>
  <si>
    <t>Man of Steel</t>
  </si>
  <si>
    <t>Seven Seas (86m)</t>
  </si>
  <si>
    <t>1010777</t>
  </si>
  <si>
    <t>319729000</t>
  </si>
  <si>
    <t>ZGAZ5</t>
  </si>
  <si>
    <t>Oceanco fleet LOA; VF beam</t>
  </si>
  <si>
    <t>LOA/year from builder fleet page; 14.2m beam from database because detail page unavailable.</t>
  </si>
  <si>
    <t>https://www.oceancoyacht.com/fleet/?pag=2</t>
  </si>
  <si>
    <t>https://www.vesselfinder.com/vessels/details/1010777</t>
  </si>
  <si>
    <t>Y707</t>
  </si>
  <si>
    <t>Nirvana</t>
  </si>
  <si>
    <t>AIS name: MY NIRVANA</t>
  </si>
  <si>
    <t>1011202</t>
  </si>
  <si>
    <t>533132675</t>
  </si>
  <si>
    <t>9M3187</t>
  </si>
  <si>
    <t>Malaysia (AIS)</t>
  </si>
  <si>
    <t>AIS header says Malaysia; static flag field says Unknown. Current registry certificate not checked.</t>
  </si>
  <si>
    <t>Builder LOA 88.5m; database 88.39m.</t>
  </si>
  <si>
    <t>https://www.oceancoyacht.com/fleet/nirvana/</t>
  </si>
  <si>
    <t>https://www.vesselfinder.com/vessels/details/1011202</t>
  </si>
  <si>
    <t>Y708</t>
  </si>
  <si>
    <t>Amore Vero</t>
  </si>
  <si>
    <t>St. Princess Olga</t>
  </si>
  <si>
    <t>1011757</t>
  </si>
  <si>
    <t>533132553</t>
  </si>
  <si>
    <t>9M3050</t>
  </si>
  <si>
    <t>Builder LOA 85.6m vs database 88.39m; do not merge these dimensions.</t>
  </si>
  <si>
    <t>https://www.oceancoyacht.com/fleet/amore-vero/</t>
  </si>
  <si>
    <t>https://www.vesselfinder.com/vessels/details/1011757</t>
  </si>
  <si>
    <t>Y709</t>
  </si>
  <si>
    <t>Draak</t>
  </si>
  <si>
    <t>Equanimity; Tranquility</t>
  </si>
  <si>
    <t>Motor / expedition yacht</t>
  </si>
  <si>
    <t>1012086</t>
  </si>
  <si>
    <t>319059800</t>
  </si>
  <si>
    <t>ZGDQ</t>
  </si>
  <si>
    <t>Y.CO / SuperYacht Times / Wikipedia published GT — post-June 2026 rebuild remeasurement not verified</t>
  </si>
  <si>
    <t>Builder 92.9 x 14.5m after June 2026 rebuild. Database 91.5 x 14.6m / 2894GT may be pre-refit; obtain new ITC. Audit 25 Sep 2026: 2951GT (majority published figure) replaces VesselFinder 2894GT as working value.</t>
  </si>
  <si>
    <t>https://www.oceancoyacht.com/fleet/draak/</t>
  </si>
  <si>
    <t>https://www.vesselfinder.com/vessels/details/1012086</t>
  </si>
  <si>
    <t>Y710</t>
  </si>
  <si>
    <t>Samsara</t>
  </si>
  <si>
    <t>Infinity (89m); Cloud 9</t>
  </si>
  <si>
    <t>1012177</t>
  </si>
  <si>
    <t>319068100</t>
  </si>
  <si>
    <t>ZGEC5</t>
  </si>
  <si>
    <t>MMSI/call/flag supplemented from MagicPort; VesselFinder AIS identity header incomplete.</t>
  </si>
  <si>
    <t>Builder beam 14.2m vs database 14.0m. Distinct from 117m Infinity.</t>
  </si>
  <si>
    <t>https://www.oceancoyacht.com/fleet/samsara/</t>
  </si>
  <si>
    <t>https://www.vesselfinder.com/vessels/details/1012177</t>
  </si>
  <si>
    <t>https://magicport.ai/vessels/pleasure-craft/samsara-mmsi-319068100</t>
  </si>
  <si>
    <t>Y711</t>
  </si>
  <si>
    <t>AQuiJo</t>
  </si>
  <si>
    <t>Sailing yacht / ketch</t>
  </si>
  <si>
    <t>1012529</t>
  </si>
  <si>
    <t>319085900</t>
  </si>
  <si>
    <t>ZGFC8</t>
  </si>
  <si>
    <t>VesselFinder static particulars — broker states 1,538GT</t>
  </si>
  <si>
    <t>VesselFinder showed an AIS report approximately 303 days old. Registration freshness not confirmed.</t>
  </si>
  <si>
    <t>Builder LOA 85m vs broker 86m. Database 1540GT vs Y.CO 1538GT; both unverified.</t>
  </si>
  <si>
    <t>https://www.oceancoyacht.com/fleet/aquijo/</t>
  </si>
  <si>
    <t>https://www.vesselfinder.com/vessels/details/1012529</t>
  </si>
  <si>
    <t>Y712</t>
  </si>
  <si>
    <t>Black Pearl</t>
  </si>
  <si>
    <t>Sailing yacht / DynaRig</t>
  </si>
  <si>
    <t>1012490</t>
  </si>
  <si>
    <t>319113100</t>
  </si>
  <si>
    <t>ZGGH7</t>
  </si>
  <si>
    <t>Builder 106.7m vs database 105m. Builder 2018 is delivery, not launch. 30kn is sailing, not engine speed.</t>
  </si>
  <si>
    <t>https://www.oceancoyacht.com/fleet/black-pearl/</t>
  </si>
  <si>
    <t>https://www.vesselfinder.com/vessels/details/1012490</t>
  </si>
  <si>
    <t>Y714</t>
  </si>
  <si>
    <t>KAOS</t>
  </si>
  <si>
    <t>Jubilee</t>
  </si>
  <si>
    <t>1012610</t>
  </si>
  <si>
    <t>339302000</t>
  </si>
  <si>
    <t>6YVQ2</t>
  </si>
  <si>
    <t>Jamaica</t>
  </si>
  <si>
    <t>Builder LOA 110m vs database 105m; beam 16.4m vs 16m. Interior credit is original build.</t>
  </si>
  <si>
    <t>https://www.oceancoyacht.com/fleet/kaos/</t>
  </si>
  <si>
    <t>https://www.vesselfinder.com/vessels/details/1012610</t>
  </si>
  <si>
    <t>Y715</t>
  </si>
  <si>
    <t>Barbara</t>
  </si>
  <si>
    <t>1012725</t>
  </si>
  <si>
    <t>319104200</t>
  </si>
  <si>
    <t>ZGFN2</t>
  </si>
  <si>
    <t>Builder beam 14.5m; designer as-built 14.2m; database 14.45m. Supplemental data is 2017 configuration.</t>
  </si>
  <si>
    <t>https://www.oceancoyacht.com/fleet/barbara/</t>
  </si>
  <si>
    <t>https://www.vesselfinder.com/vessels/details/1012725</t>
  </si>
  <si>
    <t>Y716</t>
  </si>
  <si>
    <t>SHODAN</t>
  </si>
  <si>
    <t>DreAMBoat (90m); DREAMBOAT 1; Project Yasmin</t>
  </si>
  <si>
    <t>1012919</t>
  </si>
  <si>
    <t>319151300</t>
  </si>
  <si>
    <t>ZGIC7</t>
  </si>
  <si>
    <t>Former 90m DreAMBoat; separate IMO and yard number from 111m DreAMBoat (Y726).</t>
  </si>
  <si>
    <t>https://www.oceancoyacht.com/fleet/shodan/</t>
  </si>
  <si>
    <t>https://www.vesselfinder.com/vessels/details/1012919</t>
  </si>
  <si>
    <t>Y717</t>
  </si>
  <si>
    <t>LUNA</t>
  </si>
  <si>
    <t>Dar</t>
  </si>
  <si>
    <t>1013066</t>
  </si>
  <si>
    <t>319133300</t>
  </si>
  <si>
    <t>ZGHL5</t>
  </si>
  <si>
    <t>Builder rounds LOA to 90m; Y.CO/database give 90.13m. Database beam 13.8m vs builder 14.2m.</t>
  </si>
  <si>
    <t>https://www.oceancoyacht.com/fleet/luna/</t>
  </si>
  <si>
    <t>https://www.vesselfinder.com/vessels/details/1013066</t>
  </si>
  <si>
    <t>Y718</t>
  </si>
  <si>
    <t>Bravo Eugenia</t>
  </si>
  <si>
    <t>Motor yacht / hybrid</t>
  </si>
  <si>
    <t>1012921</t>
  </si>
  <si>
    <t>319156800</t>
  </si>
  <si>
    <t>ZGIL4</t>
  </si>
  <si>
    <t>Builder beam 16.3m vs database 16m.</t>
  </si>
  <si>
    <t>https://www.oceancoyacht.com/fleet/bravo-eugenia/</t>
  </si>
  <si>
    <t>https://www.vesselfinder.com/vessels/details/1012921</t>
  </si>
  <si>
    <t>Y719</t>
  </si>
  <si>
    <t>Infinity</t>
  </si>
  <si>
    <t>9817896</t>
  </si>
  <si>
    <t>319208000</t>
  </si>
  <si>
    <t>ZGKZ3</t>
  </si>
  <si>
    <t>Builder beam 16.5m vs database 17m. Distinct from original 89m Infinity (now Samsara).</t>
  </si>
  <si>
    <t>https://www.oceancoyacht.com/fleet/infinity/</t>
  </si>
  <si>
    <t>https://www.vesselfinder.com/vessels/details/9817896</t>
  </si>
  <si>
    <t>Y720</t>
  </si>
  <si>
    <t>Seven Seas</t>
  </si>
  <si>
    <t>9840178</t>
  </si>
  <si>
    <t>319225300</t>
  </si>
  <si>
    <t>ZGQC2</t>
  </si>
  <si>
    <t>Database static 125 x 17m / 2022 is quarantined. Builder 109 x 16m / 2023; database AIS dimensions also 109 x 16m.</t>
  </si>
  <si>
    <t>https://www.oceancoyacht.com/fleet/seven-seas/</t>
  </si>
  <si>
    <t>https://www.vesselfinder.com/vessels/details/9840178</t>
  </si>
  <si>
    <t>Y721</t>
  </si>
  <si>
    <t>Koru</t>
  </si>
  <si>
    <t>Sailing yacht / schooner</t>
  </si>
  <si>
    <t>9857298</t>
  </si>
  <si>
    <t>319225400</t>
  </si>
  <si>
    <t>ZGQC5</t>
  </si>
  <si>
    <t>Builder 125 x 17.2m. Lateral title says 125m, body 127 x 16m. Database beam 17m.</t>
  </si>
  <si>
    <t>https://www.oceancoyacht.com/fleet/koru/</t>
  </si>
  <si>
    <t>https://www.vesselfinder.com/vessels/details/9857298</t>
  </si>
  <si>
    <t>Y722</t>
  </si>
  <si>
    <t>Leviathan</t>
  </si>
  <si>
    <t>Motor yacht / diesel-electric</t>
  </si>
  <si>
    <t>9921491</t>
  </si>
  <si>
    <t>319324100</t>
  </si>
  <si>
    <t>ZGUZ3</t>
  </si>
  <si>
    <t>Oceanco / Lateral publication</t>
  </si>
  <si>
    <t>Builder/Lateral 111 x 17.8m; database 110 x 15m. Builder and database agree 4970GT.</t>
  </si>
  <si>
    <t>https://www.oceancoyacht.com/fleet/leviathan/</t>
  </si>
  <si>
    <t>https://www.vesselfinder.com/vessels/details/9921491</t>
  </si>
  <si>
    <t>Y726</t>
  </si>
  <si>
    <t>DreAMBoat</t>
  </si>
  <si>
    <t>Database build alias: ALBLASSERDAM726</t>
  </si>
  <si>
    <t>9967093</t>
  </si>
  <si>
    <t>319305800</t>
  </si>
  <si>
    <t>ZGRP2</t>
  </si>
  <si>
    <t>Oceanco / Lateral publication — database states 4,525GT</t>
  </si>
  <si>
    <t>Builder/Lateral 4550GT vs database 4525GT; builder LOA 111m vs database 110m. Not SHODAN/Y716.</t>
  </si>
  <si>
    <t>https://www.oceancoyacht.com/fleet/dreamboat/</t>
  </si>
  <si>
    <t>https://www.vesselfinder.com/vessels/details/9967093</t>
  </si>
  <si>
    <t>TECHNICAL PARTICULARS  |  PUBLICLY SUPPORTED FIELDS</t>
  </si>
  <si>
    <t>Blank numeric cells / 'Not verified' mean no sufficiently supported value was captured • field-level sources and historical/current basis are in Field Evidence</t>
  </si>
  <si>
    <t>Vessel</t>
  </si>
  <si>
    <t xml:space="preserve">Draft (m)
[published]</t>
  </si>
  <si>
    <t>Hull</t>
  </si>
  <si>
    <t>Superstructure</t>
  </si>
  <si>
    <t>Naval architecture / engineering</t>
  </si>
  <si>
    <t>Exterior design</t>
  </si>
  <si>
    <t>Interior design</t>
  </si>
  <si>
    <t>Main machinery</t>
  </si>
  <si>
    <t>Propulsion / energy</t>
  </si>
  <si>
    <t>Cruise (kn)</t>
  </si>
  <si>
    <t>Max motor (kn)</t>
  </si>
  <si>
    <t>Max sail (kn)</t>
  </si>
  <si>
    <t>Range (nm)</t>
  </si>
  <si>
    <t>Guests [published]</t>
  </si>
  <si>
    <t>Guest cabins</t>
  </si>
  <si>
    <t>Crew [published]</t>
  </si>
  <si>
    <t>Class society [published]</t>
  </si>
  <si>
    <t>Refit/rebuild identified</t>
  </si>
  <si>
    <t>Selected features</t>
  </si>
  <si>
    <t>Source IDs</t>
  </si>
  <si>
    <t>Source URLs</t>
  </si>
  <si>
    <t>Qualification</t>
  </si>
  <si>
    <t>Steel</t>
  </si>
  <si>
    <t>Not verified</t>
  </si>
  <si>
    <t>Nuvolari Lenard</t>
  </si>
  <si>
    <t>Alberto Pinto (original)</t>
  </si>
  <si>
    <t>Retractable zero-speed stabilisers; interior refit by FM Architettura</t>
  </si>
  <si>
    <t>B701; Y701</t>
  </si>
  <si>
    <t xml:space="preserve">https://www.oceancoyacht.com/fleet/batello/
https://iyc.com/charter/batello/</t>
  </si>
  <si>
    <t>Published accommodation is not a certified persons-on-board limit. Draft is not assumed to be maximum/design draft. Range speed/load condition is unverified. Broker maximum speed conflict: 19/20kn.</t>
  </si>
  <si>
    <t>Alberto Pinto</t>
  </si>
  <si>
    <t>2 x MTU 4,680 hp (broker notation)</t>
  </si>
  <si>
    <t>Lloyd's Register</t>
  </si>
  <si>
    <t>6 guest staterooms plus 1 staff suite; stabilisation at anchor and underway</t>
  </si>
  <si>
    <t>B702; FR702</t>
  </si>
  <si>
    <t xml:space="preserve">https://www.oceancoyacht.com/fleet/alfa-nero/
https://www.fraseryachts.com/en/yacht-for-sale/alfa-nero/</t>
  </si>
  <si>
    <t>Published accommodation is not a certified persons-on-board limit. Draft is not assumed to be maximum/design draft. Range speed/load condition is unverified.</t>
  </si>
  <si>
    <t>Sam Sorgiovanni</t>
  </si>
  <si>
    <t>2 x MTU 3,655 hp (broker notation)</t>
  </si>
  <si>
    <t>Stabilisation at anchor and underway</t>
  </si>
  <si>
    <t>B703; FR703</t>
  </si>
  <si>
    <t xml:space="preserve">https://www.oceancoyacht.com/fleet/wheels/
https://www.fraseryachts.com/en/yacht-for-charter/wheels/</t>
  </si>
  <si>
    <t>B704</t>
  </si>
  <si>
    <t>Aluminium</t>
  </si>
  <si>
    <t>Azure</t>
  </si>
  <si>
    <t>Björn Johansson</t>
  </si>
  <si>
    <t>Terence Disdale</t>
  </si>
  <si>
    <t>B705; ED705</t>
  </si>
  <si>
    <t xml:space="preserve">https://www.oceancoyacht.com/fleet/sunrays/
https://www.edmiston.com/50/sunrays-yacht-charter/</t>
  </si>
  <si>
    <t>CW706</t>
  </si>
  <si>
    <t>https://www.charterworld.com/index.html?charter=motor-yacht-y-5937&amp;sub=yacht-charter</t>
  </si>
  <si>
    <t>B707</t>
  </si>
  <si>
    <t>Lobanov Design</t>
  </si>
  <si>
    <t>B708</t>
  </si>
  <si>
    <t>Dive centre; medical room; hyperbaric chamber; scientific work facilities</t>
  </si>
  <si>
    <t>DRAAK26</t>
  </si>
  <si>
    <t>https://www.oceancoyacht.com/leviathan-and-draak-at-the-2026-monaco-yacht-show/</t>
  </si>
  <si>
    <t>Published accommodation is not a certified persons-on-board limit. Draft is not assumed to be maximum/design draft. Range speed/load condition is unverified. Original machinery/accommodation intentionally not carried forward across 2026 rebuild.</t>
  </si>
  <si>
    <t>Espen Øino</t>
  </si>
  <si>
    <t>Sinot; David Kleinberg</t>
  </si>
  <si>
    <t>B710</t>
  </si>
  <si>
    <t>Tripp Design</t>
  </si>
  <si>
    <t>Dölker + Voges</t>
  </si>
  <si>
    <t>B711; YC711</t>
  </si>
  <si>
    <t xml:space="preserve">https://www.oceancoyacht.com/fleet/aquijo/
https://y.co/yacht/aquijo</t>
  </si>
  <si>
    <t>Published accommodation is not a certified persons-on-board limit. Draft is not assumed to be maximum/design draft. Range speed/load condition is unverified. Broker also publishes 17kn maximum without identifying propulsion mode; see Field Evidence.</t>
  </si>
  <si>
    <t>Oceanco; Dykstra Naval Architects (hull &amp; DynaRig); Lateral / BMT (engineering)</t>
  </si>
  <si>
    <t>Ken Freivokh; Nuvolari Lenard</t>
  </si>
  <si>
    <t>Ken Freivokh; Nuvolari Lenard; Villate</t>
  </si>
  <si>
    <t>Hybrid propulsion with sailing-energy integration</t>
  </si>
  <si>
    <t>B712; LAT712; DYK712</t>
  </si>
  <si>
    <t xml:space="preserve">https://www.oceancoyacht.com/fleet/black-pearl/
https://www.lateral.engineering/projects/black-pearl/
https://www.dykstra-na.nl/designs/black-pearl/</t>
  </si>
  <si>
    <t>Azure (hull); Lateral / Oceanco (engineering)</t>
  </si>
  <si>
    <t>Sam Sorgiovanni (original); Reymond Langton Design (2020 Lürssen refit)</t>
  </si>
  <si>
    <t>B714; LAT714; RL714</t>
  </si>
  <si>
    <t xml:space="preserve">https://www.oceancoyacht.com/fleet/kaos/
https://www.lateral.engineering/projects/kaos/
https://www.reymondlangtondesign.com/110m-motor-yacht-kaos-delivered-after-major-lurssen-refit/</t>
  </si>
  <si>
    <t>B715; Y715</t>
  </si>
  <si>
    <t xml:space="preserve">https://www.oceancoyacht.com/fleet/barbara/
https://www.sorgiovanniinteriors.com.au/barbara/</t>
  </si>
  <si>
    <t>Published accommodation is not a certified persons-on-board limit. Draft is not assumed to be maximum/design draft. Range speed/load condition is unverified. Designer data is as built in 2017.</t>
  </si>
  <si>
    <t>B716</t>
  </si>
  <si>
    <t>DeBasto Designs</t>
  </si>
  <si>
    <t>B717; YC717</t>
  </si>
  <si>
    <t xml:space="preserve">https://www.oceancoyacht.com/fleet/luna/
https://y.co/yacht/luna</t>
  </si>
  <si>
    <t>Lateral; Oceanco</t>
  </si>
  <si>
    <t>Reymond Langton</t>
  </si>
  <si>
    <t>2 x 1,440 kW MTU</t>
  </si>
  <si>
    <t>Hybrid LIFE platform; batteries and waste-heat recovery</t>
  </si>
  <si>
    <t>B718; LAT718</t>
  </si>
  <si>
    <t xml:space="preserve">https://www.oceancoyacht.com/fleet/bravo-eugenia/
https://www.lateral.engineering/projects/bravo/</t>
  </si>
  <si>
    <t>B719; LAT719</t>
  </si>
  <si>
    <t xml:space="preserve">https://www.oceancoyacht.com/fleet/infinity/
https://www.lateral.engineering/projects/Inifinity-117m/</t>
  </si>
  <si>
    <t>Sinot Yacht Architecture &amp; Design</t>
  </si>
  <si>
    <t>Sinot; Molly Isaksen (decoration)</t>
  </si>
  <si>
    <t>B720; LAT720</t>
  </si>
  <si>
    <t xml:space="preserve">https://www.oceancoyacht.com/fleet/seven-seas/
https://www.lateral.engineering/projects/Seven-Seas-357ft/</t>
  </si>
  <si>
    <t>Lateral; Dykstra Naval Architects</t>
  </si>
  <si>
    <t>Dykstra Naval Architects</t>
  </si>
  <si>
    <t>Tino Zervudachi &amp; Associés</t>
  </si>
  <si>
    <t>B721</t>
  </si>
  <si>
    <t>Oceanco</t>
  </si>
  <si>
    <t>Mark Berryman</t>
  </si>
  <si>
    <t>Diesel-electric</t>
  </si>
  <si>
    <t>Scientific and dive operations; medical facilities</t>
  </si>
  <si>
    <t>B722; LAT722</t>
  </si>
  <si>
    <t xml:space="preserve">https://www.oceancoyacht.com/fleet/leviathan/
https://www.lateral.engineering/projects/leviathan/</t>
  </si>
  <si>
    <t>Battery-supported energy / peak-load management</t>
  </si>
  <si>
    <t>B726; LAT726</t>
  </si>
  <si>
    <t xml:space="preserve">https://www.oceancoyacht.com/fleet/dreamboat/
https://www.lateral.engineering/projects/y726-364ft/</t>
  </si>
  <si>
    <t>SOURCE COMPARISON  |  DO NOT SILENTLY MERGE</t>
  </si>
  <si>
    <t>Deltas = preferred public value minus VesselFinder static value • differences identify review needs, not proof of error • blank database year was not separately recorded</t>
  </si>
  <si>
    <t>VF static LOA (m)</t>
  </si>
  <si>
    <t>Δ LOA (m)</t>
  </si>
  <si>
    <t>VF static beam (m)</t>
  </si>
  <si>
    <t>Δ beam (m)</t>
  </si>
  <si>
    <t>VF static GT</t>
  </si>
  <si>
    <t>Δ GT</t>
  </si>
  <si>
    <t>Builder delivery year</t>
  </si>
  <si>
    <t>VF build year [checked]</t>
  </si>
  <si>
    <t>Year difference</t>
  </si>
  <si>
    <t>Review flag</t>
  </si>
  <si>
    <t>Key interpretation</t>
  </si>
  <si>
    <t xml:space="preserve">https://www.oceancoyacht.com/fleet/batello/
https://www.vesselfinder.com/vessels/details/1009118</t>
  </si>
  <si>
    <t xml:space="preserve">https://www.oceancoyacht.com/fleet/alfa-nero/
https://www.vesselfinder.com/vessels/details/1009376</t>
  </si>
  <si>
    <t xml:space="preserve">https://www.oceancoyacht.com/fleet/wheels/
https://www.vesselfinder.com/vessels/details/1009388</t>
  </si>
  <si>
    <t xml:space="preserve">https://www.oceancoyacht.com/fleet/vibrant-curiosity/
https://www.vesselfinder.com/vessels/details/1010002</t>
  </si>
  <si>
    <t xml:space="preserve">https://www.oceancoyacht.com/fleet/sunrays/
https://www.vesselfinder.com/vessels/details/1010351</t>
  </si>
  <si>
    <t xml:space="preserve">https://www.oceancoyacht.com/fleet/?pag=2
https://www.vesselfinder.com/vessels/details/1010777</t>
  </si>
  <si>
    <t xml:space="preserve">https://www.oceancoyacht.com/fleet/nirvana/
https://www.vesselfinder.com/vessels/details/1011202</t>
  </si>
  <si>
    <t xml:space="preserve">https://www.oceancoyacht.com/fleet/amore-vero/
https://www.vesselfinder.com/vessels/details/1011757</t>
  </si>
  <si>
    <t>Builder 92.9 x 14.5m after June 2026 rebuild. Database 91.5 x 14.6m / 2894GT may be pre-refit; obtain new ITC.</t>
  </si>
  <si>
    <t xml:space="preserve">https://www.oceancoyacht.com/fleet/draak/
https://www.vesselfinder.com/vessels/details/1012086</t>
  </si>
  <si>
    <t xml:space="preserve">https://www.oceancoyacht.com/fleet/samsara/
https://www.vesselfinder.com/vessels/details/1012177</t>
  </si>
  <si>
    <t xml:space="preserve">https://www.oceancoyacht.com/fleet/aquijo/
https://www.vesselfinder.com/vessels/details/1012529</t>
  </si>
  <si>
    <t xml:space="preserve">https://www.oceancoyacht.com/fleet/black-pearl/
https://www.vesselfinder.com/vessels/details/1012490</t>
  </si>
  <si>
    <t xml:space="preserve">https://www.oceancoyacht.com/fleet/kaos/
https://www.vesselfinder.com/vessels/details/1012610</t>
  </si>
  <si>
    <t xml:space="preserve">https://www.oceancoyacht.com/fleet/barbara/
https://www.vesselfinder.com/vessels/details/1012725</t>
  </si>
  <si>
    <t xml:space="preserve">https://www.oceancoyacht.com/fleet/shodan/
https://www.vesselfinder.com/vessels/details/1012919</t>
  </si>
  <si>
    <t xml:space="preserve">https://www.oceancoyacht.com/fleet/luna/
https://www.vesselfinder.com/vessels/details/1013066</t>
  </si>
  <si>
    <t xml:space="preserve">https://www.oceancoyacht.com/fleet/bravo-eugenia/
https://www.vesselfinder.com/vessels/details/1012921</t>
  </si>
  <si>
    <t xml:space="preserve">https://www.oceancoyacht.com/fleet/infinity/
https://www.vesselfinder.com/vessels/details/9817896</t>
  </si>
  <si>
    <t xml:space="preserve">https://www.oceancoyacht.com/fleet/seven-seas/
https://www.vesselfinder.com/vessels/details/9840178</t>
  </si>
  <si>
    <t xml:space="preserve">https://www.oceancoyacht.com/fleet/koru/
https://www.vesselfinder.com/vessels/details/9857298</t>
  </si>
  <si>
    <t xml:space="preserve">https://www.oceancoyacht.com/fleet/leviathan/
https://www.vesselfinder.com/vessels/details/9921491</t>
  </si>
  <si>
    <t xml:space="preserve">https://www.oceancoyacht.com/fleet/dreamboat/
https://www.vesselfinder.com/vessels/details/9967093</t>
  </si>
  <si>
    <t>BUILD SEQUENCE  |  Y701–Y726</t>
  </si>
  <si>
    <t>22 mapped vessels; four numerical gaps retained explicitly • sorted by build code, not launch/delivery chronology • code-to-name sources are independent of current AIS identities</t>
  </si>
  <si>
    <t>Build code</t>
  </si>
  <si>
    <t>Mapped vessel</t>
  </si>
  <si>
    <t>Scope status</t>
  </si>
  <si>
    <t>Mapping evidence type</t>
  </si>
  <si>
    <t>Mapping source ID</t>
  </si>
  <si>
    <t>Mapping source URL</t>
  </si>
  <si>
    <t>Included — identified vessel</t>
  </si>
  <si>
    <t>Charter broker</t>
  </si>
  <si>
    <t>https://iyc.com/charter/batello/</t>
  </si>
  <si>
    <t>Public project/IMO cross-reference; not a builder's certificate. Published top speed is inconsistent within page: 20kn specifications / 19kn narrative.</t>
  </si>
  <si>
    <t>Broker listing on marketplace</t>
  </si>
  <si>
    <t>https://www.yachtfocus.com/it/barca/2007-oceanco-y702-10043681/</t>
  </si>
  <si>
    <t>Public project/IMO cross-reference; not a builder's certificate. Broker listing is used for yard-code cross-reference, not current statutory registration.</t>
  </si>
  <si>
    <t>First-hand construction photograph</t>
  </si>
  <si>
    <t>https://www.shipspotting.com/photos/324611</t>
  </si>
  <si>
    <t>Public project/IMO cross-reference; not a builder's certificate. Historical photo metadata; do not use its flag or radio identifiers as current.</t>
  </si>
  <si>
    <t>https://www.shipspotting.com/photos/458681</t>
  </si>
  <si>
    <t>Public project/IMO cross-reference; not a builder's certificate. Historical photo metadata; current radio identifiers come from separate database sources.</t>
  </si>
  <si>
    <t>First-hand vessel photograph</t>
  </si>
  <si>
    <t>https://www.shipspotting.com/photos/2927955</t>
  </si>
  <si>
    <t xml:space="preserve">Public project/IMO cross-reference; not a builder's certificate. </t>
  </si>
  <si>
    <t>Supplier press release</t>
  </si>
  <si>
    <t>https://sandpeoplecommunication.wordpress.com/tag/tender/page/2/</t>
  </si>
  <si>
    <t>Public project/IMO cross-reference; not a builder's certificate. Hodgdon tender-supplier release explicitly identifies Oceanco Y706 as M/Y Seven Seas.</t>
  </si>
  <si>
    <t>https://www.shipspotting.com/photos/1522215</t>
  </si>
  <si>
    <t>Broker vessel profile</t>
  </si>
  <si>
    <t>https://www.charterworld.com/index.html?charter=motor-yacht-y-6303&amp;sub=yacht-charter</t>
  </si>
  <si>
    <t>Public project/IMO cross-reference; not a builder's certificate. Historical broker profile; not a current registration certificate.</t>
  </si>
  <si>
    <t>Refit contractor</t>
  </si>
  <si>
    <t>PRO</t>
  </si>
  <si>
    <t>https://www.proyacht.nl/custom-yacht-refit-portfolio/</t>
  </si>
  <si>
    <t>Public project/IMO cross-reference; not a builder's certificate. Indexed portfolio identifies Y709 and Y719. Historical 91.5m Draak dimension is not the current builder LOA.</t>
  </si>
  <si>
    <t>Project participant</t>
  </si>
  <si>
    <t>TC</t>
  </si>
  <si>
    <t>https://tech-consul.nl/projects</t>
  </si>
  <si>
    <t>Public project/IMO cross-reference; not a builder's certificate. Indexed project portfolio used for yard-code mapping only; rounded project lengths are not preferred dimensions.</t>
  </si>
  <si>
    <t>AIS database / historical</t>
  </si>
  <si>
    <t>https://www.myshiptracking.com/vessels/oceanco-y712-mmsi-244020868-imo-1012490</t>
  </si>
  <si>
    <t>Public project/IMO cross-reference; not a builder's certificate. Historical construction identity only. Old MMSI is not used in the current register.</t>
  </si>
  <si>
    <t>Y713</t>
  </si>
  <si>
    <t>Unmapped</t>
  </si>
  <si>
    <t>Unresolved numerical slot</t>
  </si>
  <si>
    <t>No verified mapping captured</t>
  </si>
  <si>
    <t>No vessel assigned in this workbook. Do not infer an unbuilt, cancelled or confidential project from the numbering gap.</t>
  </si>
  <si>
    <t>Designer</t>
  </si>
  <si>
    <t>https://www.sorgiovanniinteriors.com.au/barbara/</t>
  </si>
  <si>
    <t>Public project/IMO cross-reference; not a builder's certificate. As-built 2017 information; designer beam 14.2m differs from current Oceanco page 14.5m.</t>
  </si>
  <si>
    <t>https://www.shipspotting.com/photos/3245295</t>
  </si>
  <si>
    <t>Public project/IMO cross-reference; not a builder's certificate. Original name DreAMBoat; not the 111m Y726.</t>
  </si>
  <si>
    <t>First-hand construction video</t>
  </si>
  <si>
    <t>https://www.youtube.com/watch?v=DD-N64-xotE</t>
  </si>
  <si>
    <t>First-hand vessel photograph / post</t>
  </si>
  <si>
    <t>https://www.facebook.com/dutchyachting/posts/the-109m-3576-seven-seas-y720-launched-on-11-march-2022-returned-to-oceancos-dry/553672826787162/</t>
  </si>
  <si>
    <t>Public project/IMO cross-reference; not a builder's certificate. Historical launch record; project delivery year is sourced separately from Oceanco.</t>
  </si>
  <si>
    <t>Naval architect</t>
  </si>
  <si>
    <t>LAT722</t>
  </si>
  <si>
    <t>https://www.lateral.engineering/projects/leviathan/</t>
  </si>
  <si>
    <t>Y723</t>
  </si>
  <si>
    <t>Y724</t>
  </si>
  <si>
    <t>Y725</t>
  </si>
  <si>
    <t>LAT726</t>
  </si>
  <si>
    <t>https://www.lateral.engineering/projects/y726-364ft/</t>
  </si>
  <si>
    <t>Public project/IMO cross-reference; not a builder's certificate. Project page originally written before delivery; delivered name/year come from Oceanco.</t>
  </si>
  <si>
    <t>FIELD EVIDENCE  |  TRACEABLE OBSERVATIONS</t>
  </si>
  <si>
    <t>One sourced observation per row • alternate values are retained rather than overwritten • filter by IMO and field to reconcile a vessel</t>
  </si>
  <si>
    <t>Field</t>
  </si>
  <si>
    <t>Observed value</t>
  </si>
  <si>
    <t>Unit</t>
  </si>
  <si>
    <t>Observation basis</t>
  </si>
  <si>
    <t>Source ID</t>
  </si>
  <si>
    <t>Source URL</t>
  </si>
  <si>
    <t>Yard code</t>
  </si>
  <si>
    <t>Public build-to-vessel cross-reference</t>
  </si>
  <si>
    <t>No builder certificate inspected.</t>
  </si>
  <si>
    <t>Current published name</t>
  </si>
  <si>
    <t>Builder fleet publication</t>
  </si>
  <si>
    <t>Name may change after retrieval.</t>
  </si>
  <si>
    <t>B701</t>
  </si>
  <si>
    <t>Published name history / alias</t>
  </si>
  <si>
    <t>Not a certified complete sequence; dates not inferred.</t>
  </si>
  <si>
    <t>V701</t>
  </si>
  <si>
    <t>Delivered</t>
  </si>
  <si>
    <t>year</t>
  </si>
  <si>
    <t>Do not equate with keel-laying or launch year.</t>
  </si>
  <si>
    <t>Database static vessel particulars</t>
  </si>
  <si>
    <t>Checksum passed; checksum does not independently confirm identity.</t>
  </si>
  <si>
    <t>Published radio identity</t>
  </si>
  <si>
    <t>Flag</t>
  </si>
  <si>
    <t>Published flag / AIS identity</t>
  </si>
  <si>
    <t>Preferred published LOA</t>
  </si>
  <si>
    <t>m</t>
  </si>
  <si>
    <t>Builder published overall length</t>
  </si>
  <si>
    <t>Not independently measured or certificate-verified.</t>
  </si>
  <si>
    <t>Preferred published beam</t>
  </si>
  <si>
    <t>Builder published overall beam</t>
  </si>
  <si>
    <t>Not moulded breadth unless source explicitly says so.</t>
  </si>
  <si>
    <t>Working gross tonnage</t>
  </si>
  <si>
    <t>GT</t>
  </si>
  <si>
    <t>Database static GT</t>
  </si>
  <si>
    <t>GT is not mass/displacement.</t>
  </si>
  <si>
    <t>Database static LOA</t>
  </si>
  <si>
    <t>Database static specification, not AIS dimensions</t>
  </si>
  <si>
    <t>Database static beam</t>
  </si>
  <si>
    <t>Database static specification</t>
  </si>
  <si>
    <t>Not a current International Tonnage Certificate.</t>
  </si>
  <si>
    <t>Database deadweight</t>
  </si>
  <si>
    <t>t</t>
  </si>
  <si>
    <t>Deadweight is not displacement or gross tonnage.</t>
  </si>
  <si>
    <t>Hull material</t>
  </si>
  <si>
    <t>Published specification; not certificate-verified</t>
  </si>
  <si>
    <t>Builder design credit; original build unless expressly noted</t>
  </si>
  <si>
    <t>Builder design credit; may not describe later refit</t>
  </si>
  <si>
    <t>Cruising speed</t>
  </si>
  <si>
    <t>kn</t>
  </si>
  <si>
    <t>Maximum motor speed</t>
  </si>
  <si>
    <t>20kn in specification table; same page narrative says 19kn.</t>
  </si>
  <si>
    <t>Published guests</t>
  </si>
  <si>
    <t>persons</t>
  </si>
  <si>
    <t>Published guest cabins</t>
  </si>
  <si>
    <t>cabins</t>
  </si>
  <si>
    <t>Published crew</t>
  </si>
  <si>
    <t>Latest refit/rebuild identified</t>
  </si>
  <si>
    <t>Selected publicly described features</t>
  </si>
  <si>
    <t>B702</t>
  </si>
  <si>
    <t>V702</t>
  </si>
  <si>
    <t>Published draft</t>
  </si>
  <si>
    <t>Published draft; design/max draft basis not stated.</t>
  </si>
  <si>
    <t>FR702</t>
  </si>
  <si>
    <t>https://www.fraseryachts.com/en/yacht-for-sale/alfa-nero/</t>
  </si>
  <si>
    <t>Main machinery (published wording)</t>
  </si>
  <si>
    <t>Published range</t>
  </si>
  <si>
    <t>nm</t>
  </si>
  <si>
    <t>Range test speed not stated.</t>
  </si>
  <si>
    <t>Published class society</t>
  </si>
  <si>
    <t>Generator specification</t>
  </si>
  <si>
    <t>3 x MTU 332 kW</t>
  </si>
  <si>
    <t>Broker publication</t>
  </si>
  <si>
    <t>Unit rating is as published; electrical configuration not verified.</t>
  </si>
  <si>
    <t>B703</t>
  </si>
  <si>
    <t>V703</t>
  </si>
  <si>
    <t>FR703</t>
  </si>
  <si>
    <t>https://www.fraseryachts.com/en/yacht-for-charter/wheels/</t>
  </si>
  <si>
    <t>Broker beam</t>
  </si>
  <si>
    <t>Builder 13.5m; database 13.38m.</t>
  </si>
  <si>
    <t>3 x Caterpillar 360 kW</t>
  </si>
  <si>
    <t>Unit rating is as published.</t>
  </si>
  <si>
    <t>V704</t>
  </si>
  <si>
    <t>MT704</t>
  </si>
  <si>
    <t>Range speed/load basis not stated.</t>
  </si>
  <si>
    <t>B705</t>
  </si>
  <si>
    <t>V705</t>
  </si>
  <si>
    <t>ED705</t>
  </si>
  <si>
    <t>https://www.edmiston.com/50/sunrays-yacht-charter/</t>
  </si>
  <si>
    <t>Superstructure material</t>
  </si>
  <si>
    <t>Conflicts with builder 14.2m.</t>
  </si>
  <si>
    <t>FLEET2</t>
  </si>
  <si>
    <t>V706</t>
  </si>
  <si>
    <t>Database beam</t>
  </si>
  <si>
    <t>Historical original-build broker profile</t>
  </si>
  <si>
    <t>V707</t>
  </si>
  <si>
    <t>V708</t>
  </si>
  <si>
    <t>B709</t>
  </si>
  <si>
    <t>V709</t>
  </si>
  <si>
    <t>Majority published figure (manager/broker, SuperYacht Times, Wikipedia)</t>
  </si>
  <si>
    <t>Selected in 25 Sep 2026 audit. VesselFinder static 2894GT retained as Database static GT. Post-rebuild ITC not verified.</t>
  </si>
  <si>
    <t>YCO709</t>
  </si>
  <si>
    <t>https://y.co/yacht/draak</t>
  </si>
  <si>
    <t>Builder announcement: rebuild completed June 2026</t>
  </si>
  <si>
    <t>2026 rebuild announcement</t>
  </si>
  <si>
    <t>V710</t>
  </si>
  <si>
    <t>MP710</t>
  </si>
  <si>
    <t>B711</t>
  </si>
  <si>
    <t>V711</t>
  </si>
  <si>
    <t>Published draft; operating/keel condition not specified in extracted data.</t>
  </si>
  <si>
    <t>YC711</t>
  </si>
  <si>
    <t>https://y.co/yacht/aquijo</t>
  </si>
  <si>
    <t>Published maximum speed (mode unspecified)</t>
  </si>
  <si>
    <t>Not loaded into motor-speed or sailing-speed columns because mode is not specified.</t>
  </si>
  <si>
    <t>Broker LOA</t>
  </si>
  <si>
    <t>Builder 85m; retain both.</t>
  </si>
  <si>
    <t>Broker gross tonnage</t>
  </si>
  <si>
    <t>Database 1540GT; statutory ITC required to settle difference.</t>
  </si>
  <si>
    <t>B712</t>
  </si>
  <si>
    <t>V712</t>
  </si>
  <si>
    <t>Database build year</t>
  </si>
  <si>
    <t>Explicitly captured database build year</t>
  </si>
  <si>
    <t>May differ from delivery.</t>
  </si>
  <si>
    <t>Lateral / BMT; Oceanco</t>
  </si>
  <si>
    <t>Naval-architect project credit</t>
  </si>
  <si>
    <t>LAT712</t>
  </si>
  <si>
    <t>https://www.lateral.engineering/projects/black-pearl/</t>
  </si>
  <si>
    <t>Nuvolari Lenard; Villate</t>
  </si>
  <si>
    <t>Propulsion / energy systems</t>
  </si>
  <si>
    <t>Maximum sailing speed</t>
  </si>
  <si>
    <t>Builder published sailing capability</t>
  </si>
  <si>
    <t>Not engine speed; performance capability, not a guaranteed operational speed.</t>
  </si>
  <si>
    <t>Sail area</t>
  </si>
  <si>
    <t>m²</t>
  </si>
  <si>
    <t>Builder publication</t>
  </si>
  <si>
    <t>B714</t>
  </si>
  <si>
    <t>V714</t>
  </si>
  <si>
    <t>LAT714</t>
  </si>
  <si>
    <t>https://www.lateral.engineering/projects/kaos/</t>
  </si>
  <si>
    <t>Sam Sorgiovanni (original)</t>
  </si>
  <si>
    <t>Builder published PYC guest capacity; not independently certificate-verified</t>
  </si>
  <si>
    <t>B715</t>
  </si>
  <si>
    <t>V715</t>
  </si>
  <si>
    <t>Designer as-built 2017 configuration</t>
  </si>
  <si>
    <t>Not confirmed as current operating configuration.</t>
  </si>
  <si>
    <t>Designer as-built beam</t>
  </si>
  <si>
    <t>As-built designer publication</t>
  </si>
  <si>
    <t>Current Oceanco page says 14.5m.</t>
  </si>
  <si>
    <t>DreAMBoat (90m)</t>
  </si>
  <si>
    <t>V716</t>
  </si>
  <si>
    <t>Builder published accommodation; not charter/certified passenger limit</t>
  </si>
  <si>
    <t>B717</t>
  </si>
  <si>
    <t>V717</t>
  </si>
  <si>
    <t>YC717</t>
  </si>
  <si>
    <t>https://y.co/yacht/luna</t>
  </si>
  <si>
    <t>Builder rounds to 90m.</t>
  </si>
  <si>
    <t>B718</t>
  </si>
  <si>
    <t>V718</t>
  </si>
  <si>
    <t>LAT718</t>
  </si>
  <si>
    <t>https://www.lateral.engineering/projects/bravo/</t>
  </si>
  <si>
    <t>Naval-architect project publication</t>
  </si>
  <si>
    <t>B719</t>
  </si>
  <si>
    <t>V719</t>
  </si>
  <si>
    <t>LAT719</t>
  </si>
  <si>
    <t>https://www.lateral.engineering/projects/Inifinity-117m/</t>
  </si>
  <si>
    <t>Builder published accommodation</t>
  </si>
  <si>
    <t>B720</t>
  </si>
  <si>
    <t>V720</t>
  </si>
  <si>
    <t>LAT720</t>
  </si>
  <si>
    <t>https://www.lateral.engineering/projects/Seven-Seas-357ft/</t>
  </si>
  <si>
    <t>Builder published maximum speed</t>
  </si>
  <si>
    <t>V721</t>
  </si>
  <si>
    <t>Builder project credit</t>
  </si>
  <si>
    <t>Naval-architect body length</t>
  </si>
  <si>
    <t>Conflicting published observation</t>
  </si>
  <si>
    <t>Same page title is 125m; builder current length is 125m.</t>
  </si>
  <si>
    <t>LAT721</t>
  </si>
  <si>
    <t>https://www.lateral.engineering/projects/koru-125m-410ft/</t>
  </si>
  <si>
    <t>Naval-architect body beam</t>
  </si>
  <si>
    <t>Builder current beam is 17.2m.</t>
  </si>
  <si>
    <t>B722</t>
  </si>
  <si>
    <t>V722</t>
  </si>
  <si>
    <t>Builder published GT</t>
  </si>
  <si>
    <t>B726</t>
  </si>
  <si>
    <t>V726</t>
  </si>
  <si>
    <t>Manager / broker published specification</t>
  </si>
  <si>
    <t>Matches SuperYacht Times and Wikipedia; post-June 2026 rebuild remeasurement not confirmed.</t>
  </si>
  <si>
    <t>Oceanco / Dykstra Naval Architects</t>
  </si>
  <si>
    <t>Builder design credit</t>
  </si>
  <si>
    <t>Builder fleet page credits Oceanco / Dykstra Naval Architects.</t>
  </si>
  <si>
    <t>Hull lines and DynaRig.</t>
  </si>
  <si>
    <t>DYK712</t>
  </si>
  <si>
    <t>https://www.dykstra-na.nl/designs/black-pearl/</t>
  </si>
  <si>
    <t>Builder fleet page credits Ken Freivokh Design / Nuvolari Lenard / Villate Design.</t>
  </si>
  <si>
    <t>DREAMBOAT 1 and DREAMBOAT registered per broker listing; Project Yasmin build name per YachtForums (YF716). Not a certified sequence.</t>
  </si>
  <si>
    <t>YCF716</t>
  </si>
  <si>
    <t>https://www.yachtcharterfleet.com/luxury-charter-yacht-48498/dreamboat-1.htm</t>
  </si>
  <si>
    <t>Project Yasmin</t>
  </si>
  <si>
    <t>Build / project name</t>
  </si>
  <si>
    <t>Forum thread title; weak evidence, used for alias only.</t>
  </si>
  <si>
    <t>YF716</t>
  </si>
  <si>
    <t>https://www.yachtforums.com/threads/oceanco-90m-shodan-ex-dreamboat-project-yasmin-y716-2019-26.31100/</t>
  </si>
  <si>
    <t>Refit designer announcement</t>
  </si>
  <si>
    <t>Lürssen (Blohm+Voss Hamburg) refit redelivered 2020; new interior by Reymond Langton Design.</t>
  </si>
  <si>
    <t>RL714</t>
  </si>
  <si>
    <t>https://www.reymondlangtondesign.com/110m-motor-yacht-kaos-delivered-after-major-lurssen-refit/</t>
  </si>
  <si>
    <t>Reymond Langton Design (2020 refit)</t>
  </si>
  <si>
    <t>Original build interior by Sam Sorgiovanni.</t>
  </si>
  <si>
    <t>538071357</t>
  </si>
  <si>
    <t>Alternate published radio identity</t>
  </si>
  <si>
    <t>Marshall Islands identity published for the same IMO; recency not established. Jamaica identity retained as preferred.</t>
  </si>
  <si>
    <t>MST714</t>
  </si>
  <si>
    <t>https://www.myshiptracking.com/vessels/kaos-mmsi-538071357-imo-1012610</t>
  </si>
  <si>
    <t>V7A2121</t>
  </si>
  <si>
    <t>Marshall Islands call sign published for the same IMO; recency not established.</t>
  </si>
  <si>
    <t>Broker specification</t>
  </si>
  <si>
    <t>2024 refit per Y.CO and SuperYacht Times.</t>
  </si>
  <si>
    <t>SOURCE INDEX  |  PRIMARY PUBLIC RECORDS &amp; DATABASES</t>
  </si>
  <si>
    <t>Builder / naval architect / project participant / broker publications and original vessel databases • URLs are plain text for reuse • public publication is not certificate verification</t>
  </si>
  <si>
    <t>Publisher</t>
  </si>
  <si>
    <t>Source type</t>
  </si>
  <si>
    <t>Vessel / scope</t>
  </si>
  <si>
    <t>Fields supported</t>
  </si>
  <si>
    <t>Access date</t>
  </si>
  <si>
    <t>Limitations / context</t>
  </si>
  <si>
    <t>FLEET</t>
  </si>
  <si>
    <t>Builder</t>
  </si>
  <si>
    <t>Fleet</t>
  </si>
  <si>
    <t>Fleet scope; current published names</t>
  </si>
  <si>
    <t>https://www.oceancoyacht.com/fleet/</t>
  </si>
  <si>
    <t>The current fleet includes pre-Y700 vessels too. This workbook filters to the identified Y7xx build family.</t>
  </si>
  <si>
    <t>Fleet / page 2</t>
  </si>
  <si>
    <t>Man of Steel: name, length and delivery year</t>
  </si>
  <si>
    <t>Individual Man of Steel detail page was not retrievable; beam retained from vessel database.</t>
  </si>
  <si>
    <t>Tech Consul</t>
  </si>
  <si>
    <t>Y710 / Y711 / Y714 / Y717 / Y721</t>
  </si>
  <si>
    <t>Yard code and vessel cross-reference</t>
  </si>
  <si>
    <t>Indexed project portfolio used for yard-code mapping only; rounded project lengths are not preferred dimensions.</t>
  </si>
  <si>
    <t>Proyacht</t>
  </si>
  <si>
    <t>Y709 / Y719</t>
  </si>
  <si>
    <t>Yard codes; Draak/Tranquility and Infinity cross-reference</t>
  </si>
  <si>
    <t>Indexed portfolio identifies Y709 and Y719. Historical 91.5m Draak dimension is not the current builder LOA.</t>
  </si>
  <si>
    <t>Draak / Leviathan</t>
  </si>
  <si>
    <t>Draak June 2026 rebuild and new operational facilities</t>
  </si>
  <si>
    <t>Published 4 August 2026; current tonnage certificate was not supplied.</t>
  </si>
  <si>
    <t>IYC</t>
  </si>
  <si>
    <t>Y701; refit, accommodation, performance, materials</t>
  </si>
  <si>
    <t>Published top speed is inconsistent within page: 20kn specifications / 19kn narrative.</t>
  </si>
  <si>
    <t>Fraser listing / YachtFocus</t>
  </si>
  <si>
    <t>Y702 model / Alfa Nero name</t>
  </si>
  <si>
    <t>Broker listing is used for yard-code cross-reference, not current statutory registration.</t>
  </si>
  <si>
    <t>ShipSpotting</t>
  </si>
  <si>
    <t>Wheels / Anastasia</t>
  </si>
  <si>
    <t>Y703 linked to IMO 1009388</t>
  </si>
  <si>
    <t>Historical photo metadata; do not use its flag or radio identifiers as current.</t>
  </si>
  <si>
    <t>Y704 linked to IMO 1010002</t>
  </si>
  <si>
    <t>Historical photo metadata; current radio identifiers come from separate database sources.</t>
  </si>
  <si>
    <t>Y705 / Sunrays cross-reference</t>
  </si>
  <si>
    <t>Sand People / Hodgdon</t>
  </si>
  <si>
    <t>Man of Steel / Seven Seas 86m</t>
  </si>
  <si>
    <t>Y706 / original Seven Seas cross-reference</t>
  </si>
  <si>
    <t>Hodgdon tender-supplier release explicitly identifies Oceanco Y706 as M/Y Seven Seas.</t>
  </si>
  <si>
    <t>Y707 / Nirvana cross-reference</t>
  </si>
  <si>
    <t>CharterWorld</t>
  </si>
  <si>
    <t>Amore Vero / St. Princess Olga</t>
  </si>
  <si>
    <t>Y708; original identity and dimensions</t>
  </si>
  <si>
    <t>Historical broker profile; not a current registration certificate.</t>
  </si>
  <si>
    <t>MyShipTracking</t>
  </si>
  <si>
    <t>OCEANCO Y712 linked to IMO 1012490</t>
  </si>
  <si>
    <t>Historical construction identity only. Old MMSI is not used in the current register.</t>
  </si>
  <si>
    <t>Sorgiovanni Interiors</t>
  </si>
  <si>
    <t>Y715; original draft, performance, accommodation, materials</t>
  </si>
  <si>
    <t>As-built 2017 information; designer beam 14.2m differs from current Oceanco page 14.5m.</t>
  </si>
  <si>
    <t>SHODAN / DreAMBoat 90m</t>
  </si>
  <si>
    <t>Y716 linked to IMO 1012919</t>
  </si>
  <si>
    <t>Original name DreAMBoat; not the 111m Y726.</t>
  </si>
  <si>
    <t>Dutch Yachting</t>
  </si>
  <si>
    <t>Y718 / Bravo Eugenia cross-reference</t>
  </si>
  <si>
    <t>Seven Seas 109m</t>
  </si>
  <si>
    <t>Y720 / Seven Seas cross-reference</t>
  </si>
  <si>
    <t>Historical launch record; project delivery year is sourced separately from Oceanco.</t>
  </si>
  <si>
    <t>Lateral Naval Architects</t>
  </si>
  <si>
    <t>Leviathan / Y722</t>
  </si>
  <si>
    <t>Y722; dimensions, naval architecture and diesel-electric propulsion</t>
  </si>
  <si>
    <t>DreAMBoat / Y726</t>
  </si>
  <si>
    <t>Y726; 111m, 16m, 4550GT; design team</t>
  </si>
  <si>
    <t>Project page originally written before delivery; delivered name/year come from Oceanco.</t>
  </si>
  <si>
    <t>MarineTraffic</t>
  </si>
  <si>
    <t>AIS database</t>
  </si>
  <si>
    <t>Current published call sign 9HA4898</t>
  </si>
  <si>
    <t>Legacy MMSI in page URL is not the currently displayed MMSI. Match by IMO 1010002.</t>
  </si>
  <si>
    <t>MagicPort</t>
  </si>
  <si>
    <t>Vessel database</t>
  </si>
  <si>
    <t>MMSI 319068100; call sign ZGEC5; Cayman Islands</t>
  </si>
  <si>
    <t>Used because VesselFinder did not expose a populated AIS identity header.</t>
  </si>
  <si>
    <t>Fraser</t>
  </si>
  <si>
    <t>Sales broker</t>
  </si>
  <si>
    <t>Draft, GT, refit, class, accommodation and machinery</t>
  </si>
  <si>
    <t>Draft, beam, GT, refit, class, accommodation and machinery</t>
  </si>
  <si>
    <t>Edmiston</t>
  </si>
  <si>
    <t>Draft, refit, accommodation, materials, naval architect and cruise speed</t>
  </si>
  <si>
    <t>Broker beam 13.8m is retained as a conflicting observation rather than replacing builder 14.2m.</t>
  </si>
  <si>
    <t>Man of Steel / original Seven Seas</t>
  </si>
  <si>
    <t>Original hull material, exterior designer, naval architect</t>
  </si>
  <si>
    <t>Historical profile under original/project identity.</t>
  </si>
  <si>
    <t>Y.CO</t>
  </si>
  <si>
    <t>Broker</t>
  </si>
  <si>
    <t>86m; draft 5.3m; 1538GT; accommodation and speed</t>
  </si>
  <si>
    <t>LOA and GT differ from builder/database; commercial capacity is not a statutory maximum.</t>
  </si>
  <si>
    <t>Draft, GT, accommodation and speed</t>
  </si>
  <si>
    <t>Broker gives 90.13m; builder rounds current published length to 90m.</t>
  </si>
  <si>
    <t>Hybrid propulsion; naval architecture</t>
  </si>
  <si>
    <t>Hull / engineering design contributors</t>
  </si>
  <si>
    <t>Hybrid propulsion; 2 x 1440kW MTU; naval architecture</t>
  </si>
  <si>
    <t>117m; 16.5m; 16 guests; naval architecture</t>
  </si>
  <si>
    <t>109m; 16m; 20kn; naval architecture</t>
  </si>
  <si>
    <t>Naval architecture; conflicting length and beam observations</t>
  </si>
  <si>
    <t>Koru page title says 125m, but specification body says 127m and beam 16m.</t>
  </si>
  <si>
    <t>Current published name; length, beam, delivery year; design team; selected features</t>
  </si>
  <si>
    <t>Builder marketing particulars; not statutory certificates.</t>
  </si>
  <si>
    <t>VesselFinder</t>
  </si>
  <si>
    <t>AIS / vessel database</t>
  </si>
  <si>
    <t>IMO, MMSI, call sign, flag; static GT, dimensions and year; former identities</t>
  </si>
  <si>
    <t>Radio identity / AIS and static specification sections may differ or be stale. Not certificate-verified.</t>
  </si>
  <si>
    <t>IMO_ID</t>
  </si>
  <si>
    <t>International Maritime Organization</t>
  </si>
  <si>
    <t>International authority</t>
  </si>
  <si>
    <t>Methodology</t>
  </si>
  <si>
    <t>Permanent IMO identification; never reassigned</t>
  </si>
  <si>
    <t>https://www.imo.org/en/ourwork/msas/pages/imo-identification-number-scheme.aspx</t>
  </si>
  <si>
    <t>IMO_GT</t>
  </si>
  <si>
    <t>Gross tonnage is a function of enclosed moulded volume</t>
  </si>
  <si>
    <t>https://www.imo.org/en/about/conventions/pages/international-convention-on-tonnage-measurement-of-ships.aspx</t>
  </si>
  <si>
    <t>Broker / manager</t>
  </si>
  <si>
    <t>Gross tonnage; current management</t>
  </si>
  <si>
    <t>Manager listing; matches SuperYacht Times and Wikipedia 2,951GT; not an International Tonnage Certificate.</t>
  </si>
  <si>
    <t>Hull and DynaRig naval architecture</t>
  </si>
  <si>
    <t>Designer portfolio credit.</t>
  </si>
  <si>
    <t>YachtCharterFleet</t>
  </si>
  <si>
    <t>Registered former names (DREAMBOAT 1, DREAMBOAT)</t>
  </si>
  <si>
    <t>Broker listing; name history not certified.</t>
  </si>
  <si>
    <t>YachtForums</t>
  </si>
  <si>
    <t>Enthusiast forum</t>
  </si>
  <si>
    <t>Project name (Project Yasmin)</t>
  </si>
  <si>
    <t>Forum thread title; weak evidence, alias only.</t>
  </si>
  <si>
    <t>Reymond Langton Design</t>
  </si>
  <si>
    <t>2020 Lürssen refit; refit interior</t>
  </si>
  <si>
    <t>Designer announcement of refit redelivery.</t>
  </si>
  <si>
    <t>Alternate radio identity (MMSI 538071357, V7A2121, Marshall Islands)</t>
  </si>
  <si>
    <t>Record recency not established; conflicts with the Jamaica identity on other trackers.</t>
  </si>
  <si>
    <t>DATA GAPS  |  WHAT REMAINS TO BE VERIFIED</t>
  </si>
  <si>
    <t>Operational use requires certificate checks • empty public fields are not zero or 'not fitted' • gaps are intentionally visible</t>
  </si>
  <si>
    <t>Priority</t>
  </si>
  <si>
    <t>Scope / vessel</t>
  </si>
  <si>
    <t>Field or issue</t>
  </si>
  <si>
    <t>Treatment in this release</t>
  </si>
  <si>
    <t>Evidence needed to close</t>
  </si>
  <si>
    <t>Status</t>
  </si>
  <si>
    <t>Source / reference</t>
  </si>
  <si>
    <t>Critical</t>
  </si>
  <si>
    <t>All vessels</t>
  </si>
  <si>
    <t>Certified identity / registry</t>
  </si>
  <si>
    <t>Published IMO, MMSI, call sign and flag included; no registry or radio licence inspected.</t>
  </si>
  <si>
    <t>Current Certificate of Registry and ship radio licence, matched by IMO.</t>
  </si>
  <si>
    <t>Open</t>
  </si>
  <si>
    <t>Vessel Register / individual database URLs</t>
  </si>
  <si>
    <t>Draak / Y709</t>
  </si>
  <si>
    <t>Post-2026 rebuild tonnage</t>
  </si>
  <si>
    <t>92.9m builder LOA selected; 2951GT (Y.CO / SuperYacht Times / Wikipedia) selected as working value in the 25 Sep 2026 audit; VesselFinder 2894GT retained as a database observation.</t>
  </si>
  <si>
    <t>Post-rebuild International Tonnage Certificate; updated registry / class particulars.</t>
  </si>
  <si>
    <t>High</t>
  </si>
  <si>
    <t>4550GT vs 4525GT</t>
  </si>
  <si>
    <t>4550GT builder/Lateral selected; 4525GT database retained in comparison.</t>
  </si>
  <si>
    <t>Current International Tonnage Certificate.</t>
  </si>
  <si>
    <t>AQuiJo / Y711</t>
  </si>
  <si>
    <t>1540GT vs 1538GT; 85m vs 86m</t>
  </si>
  <si>
    <t>Database 1540GT and builder 85m selected; broker observations retained separately.</t>
  </si>
  <si>
    <t>Current tonnage certificate and certified principal particulars.</t>
  </si>
  <si>
    <t>Seven Seas / Y720</t>
  </si>
  <si>
    <t>Static dimensions and build year</t>
  </si>
  <si>
    <t>Database 125 x 17m / 2022 quarantined; builder 109 x 16m / 2023 selected.</t>
  </si>
  <si>
    <t>Confirm database record correction against registry / builder particulars.</t>
  </si>
  <si>
    <t>Koru / Y721</t>
  </si>
  <si>
    <t>125m vs 127m; beam variants</t>
  </si>
  <si>
    <t>Builder 125 x 17.2m selected. Naval-architect body 127 x 16m retained as conflict.</t>
  </si>
  <si>
    <t>Approved general arrangement / certified dimensions and clarification from builder/naval architect.</t>
  </si>
  <si>
    <t>Batello / Y701</t>
  </si>
  <si>
    <t>Beam 14.2m vs 12m</t>
  </si>
  <si>
    <t>Builder beam retained; database value not silently merged.</t>
  </si>
  <si>
    <t>Certified dimensions or correction from database provider.</t>
  </si>
  <si>
    <t>Amore Vero / Y708</t>
  </si>
  <si>
    <t>LOA 85.6m vs 88.39m</t>
  </si>
  <si>
    <t>Builder dimension selected; database discrepancy retained.</t>
  </si>
  <si>
    <t>Certified principal particulars.</t>
  </si>
  <si>
    <t>KAOS / Y714</t>
  </si>
  <si>
    <t>LOA 110m vs 105m</t>
  </si>
  <si>
    <t>111 x 17.8m vs 110 x 15m</t>
  </si>
  <si>
    <t>Builder and naval-architect dimensions selected.</t>
  </si>
  <si>
    <t>Current approved principal particulars / database correction.</t>
  </si>
  <si>
    <t>Nirvana / Amore Vero</t>
  </si>
  <si>
    <t>Flag inconsistency</t>
  </si>
  <si>
    <t>AIS Malaysia recorded, but static Unknown also noted.</t>
  </si>
  <si>
    <t>Current registry certificate and radio licence.</t>
  </si>
  <si>
    <t>V707 / V708 in Sources</t>
  </si>
  <si>
    <t>Stale published AIS identity</t>
  </si>
  <si>
    <t>Published MMSI/call/flag included with 303-day age warning observed at retrieval.</t>
  </si>
  <si>
    <t>Current registry and radio identity confirmation.</t>
  </si>
  <si>
    <t>Net tonnage (NT), certified length/LBP/LWL, moulded breadth/depth</t>
  </si>
  <si>
    <t>Not derived from overall dimensions. No consistent certificate-backed set captured.</t>
  </si>
  <si>
    <t>ITC, Certificate of Registry, class particulars and approved general arrangement.</t>
  </si>
  <si>
    <t>IMO_GT / IMO_ID in Sources</t>
  </si>
  <si>
    <t>Design/max draft, displacement, load condition</t>
  </si>
  <si>
    <t>Broker draft separated from live AIS draft; no live AIS draft used as design draft.</t>
  </si>
  <si>
    <t>Load Line Certificate, approved stability book and load-condition definition.</t>
  </si>
  <si>
    <t>Technical Particulars / Field Evidence</t>
  </si>
  <si>
    <t>Class notation / statutory operating status / maximum POB</t>
  </si>
  <si>
    <t>Only class society or accommodation where explicitly published. No uniform operational classification inferred.</t>
  </si>
  <si>
    <t>Current class status, class certificate/notation, relevant statutory certificates and safe-manning document.</t>
  </si>
  <si>
    <t>Medium</t>
  </si>
  <si>
    <t>Fuel / fresh-water capacities, generator load plan, range conditions</t>
  </si>
  <si>
    <t>Only specifically sourced machinery/range observations loaded; missing fields not estimated.</t>
  </si>
  <si>
    <t>Tank capacity plan; electrical load analysis; sea-trial/performance report.</t>
  </si>
  <si>
    <t>Broker top speed 19kn / 20kn</t>
  </si>
  <si>
    <t>20kn specification table shown with internal conflict noted.</t>
  </si>
  <si>
    <t>Broker clarification / trial report.</t>
  </si>
  <si>
    <t>Barbara / Y715</t>
  </si>
  <si>
    <t>As-built vs current technical configuration</t>
  </si>
  <si>
    <t>Supplemental designer data is labelled as built in 2017.</t>
  </si>
  <si>
    <t>Latest post-refit specification / current approved plans.</t>
  </si>
  <si>
    <t>Y713 / Y723 / Y724 / Y725</t>
  </si>
  <si>
    <t>Unresolved build sequence slots</t>
  </si>
  <si>
    <t>No yacht, status or identifier invented for a numbering gap.</t>
  </si>
  <si>
    <t>Builder-confirmed historical build list or project records.</t>
  </si>
  <si>
    <t>Man of Steel / Y706</t>
  </si>
  <si>
    <t>Builder detail page unavailable</t>
  </si>
  <si>
    <t>Builder fleet page supplies LOA/year; database supplies beam.</t>
  </si>
  <si>
    <t>Builder individual vessel specification or current certified particulars.</t>
  </si>
  <si>
    <t>Historical name / flag / radio change dates</t>
  </si>
  <si>
    <t>Former aliases retained without assigning unsupported change dates.</t>
  </si>
  <si>
    <t>Registry transcripts / Continuous Synopsis Record where applicable / dated radio licences.</t>
  </si>
  <si>
    <t>Vessel Register / database history</t>
  </si>
  <si>
    <t>Scope extension</t>
  </si>
  <si>
    <t>Earlier builds and future projects</t>
  </si>
  <si>
    <t>This release covers the identified Y7xx delivered-vessel set only; it is not an all-time Oceanco orderbook.</t>
  </si>
  <si>
    <t>Agree wider scope and obtain builder orderbook / historical build-number list.</t>
  </si>
  <si>
    <t>Conflicting published radio identity</t>
  </si>
  <si>
    <t>Jamaica 339302000 / 6YVQ2 retained (vesseltracker; VesselFinder IMO page). Marshall Islands 538071357 / V7A2121 is also published for the same IMO.</t>
  </si>
  <si>
    <t>Working GT 2744 not corroborated</t>
  </si>
  <si>
    <t>Database static 2744GT retained; other published figures are 2684 / 2700 / 2800GT.</t>
  </si>
  <si>
    <t>https://www.yachtbuyer.com/en/fleet/amore-vero-280-oceanco</t>
  </si>
  <si>
    <t>Sunrays / Y705</t>
  </si>
  <si>
    <t>Identity not independently re-checked in the 25 Sep 2026 audit</t>
  </si>
  <si>
    <t>IMO, MMSI, call sign, flag and GT pass internal checks (check digit, MMSI country code, call-sign prefix) but were not re-verified against a second public source.</t>
  </si>
  <si>
    <t>Registry / AIS re-check matched by IMO.</t>
  </si>
  <si>
    <t>Audit sheet</t>
  </si>
  <si>
    <t>AUDIT  |  25 SEPTEMBER 2026  |  EXTERNAL VERIFICATION OF VERSION 1.0</t>
  </si>
  <si>
    <t>Every vessel's yard number, current name, name history, delivery year, IMO, MMSI, call sign, flag, LOA, beam and GT were checked against independent public sources (SuperYacht Times, BOAT International, Wikipedia, YachtBuyer, broker listings, AIS databases, Oceanco and Lateral releases). Internal checks: IMO check digits, MMSI country code and call-sign prefix vs flag, duplicates, cross-sheet consistency. Public sources are not certificates.</t>
  </si>
  <si>
    <t>Version 1.0 value</t>
  </si>
  <si>
    <t>Finding / version 1.1 value</t>
  </si>
  <si>
    <t>Verdict</t>
  </si>
  <si>
    <t>Action</t>
  </si>
  <si>
    <t>Notes</t>
  </si>
  <si>
    <t>CORRECTED</t>
  </si>
  <si>
    <t>Working GT changed; 2894 kept as database observation</t>
  </si>
  <si>
    <t>https://y.co/yacht/draak ; https://en.wikipedia.org/wiki/Tranquility_(yacht) ; https://www.superyachttimes.com/yachts/draak/overview</t>
  </si>
  <si>
    <t>No source other than VesselFinder static data gives 2894. Post-rebuild ITC still required.</t>
  </si>
  <si>
    <t>Naval architecture</t>
  </si>
  <si>
    <t>Dykstra added</t>
  </si>
  <si>
    <t>https://www.oceancoyacht.com/fleet/black-pearl/ ; https://www.dykstra-na.nl/designs/black-pearl/</t>
  </si>
  <si>
    <t>Builder credits Oceanco / Dykstra Naval Architects.</t>
  </si>
  <si>
    <t>Ken Freivokh added</t>
  </si>
  <si>
    <t/>
  </si>
  <si>
    <t>Former names</t>
  </si>
  <si>
    <t>Aliases added</t>
  </si>
  <si>
    <t>https://www.yachtcharterfleet.com/luxury-charter-yacht-48498/dreamboat-1.htm ; https://www.yachtforums.com/threads/oceanco-90m-shodan-ex-dreamboat-project-yasmin-y716-2019-26.31100/</t>
  </si>
  <si>
    <t>Not the 111m DreAMBoat (Y726).</t>
  </si>
  <si>
    <t>Latest refit</t>
  </si>
  <si>
    <t>ADDED</t>
  </si>
  <si>
    <t>Refit year filled</t>
  </si>
  <si>
    <t>Lürssen / Blohm+Voss refit; Reymond Langton interior.</t>
  </si>
  <si>
    <t>https://y.co/yacht/luna ; https://www.superyachttimes.com/yachts/luna-90m/overview</t>
  </si>
  <si>
    <t>MMSI / call sign / flag</t>
  </si>
  <si>
    <t>339302000 / 6YVQ2 / Jamaica</t>
  </si>
  <si>
    <t>Also published: 538071357 / V7A2121 / Marshall Islands (same IMO)</t>
  </si>
  <si>
    <t>REVIEW</t>
  </si>
  <si>
    <t>Kept Jamaica; data gap added</t>
  </si>
  <si>
    <t>https://www.vesseltracker.com/en/Ships/Kaos-1012610.html ; https://www.myshiptracking.com/vessels/kaos-mmsi-538071357-imo-1012610</t>
  </si>
  <si>
    <t>Confirm with Certificate of Registry / radio licence.</t>
  </si>
  <si>
    <t>Published: 2684 / 2700 / 2800</t>
  </si>
  <si>
    <t>Kept; data gap added</t>
  </si>
  <si>
    <t>https://www.yachtbuyer.com/en/fleet/amore-vero-280-oceanco ; https://en.wikipedia.org/wiki/List_of_yachts_built_by_Oceanco</t>
  </si>
  <si>
    <t>Only VesselFinder static data gives 2744.</t>
  </si>
  <si>
    <t>GT / draft</t>
  </si>
  <si>
    <t>1540 / 5.3</t>
  </si>
  <si>
    <t>1538 / 5.23 (Wikipedia)</t>
  </si>
  <si>
    <t>Kept (already documented)</t>
  </si>
  <si>
    <t>https://en.wikipedia.org/wiki/Aquijo_(yacht)</t>
  </si>
  <si>
    <t>Built by Oceanco with Vitters (Vitters no. 3069).</t>
  </si>
  <si>
    <t>Cruise speed</t>
  </si>
  <si>
    <t>16 kn cruise (SuperYacht Times); 14 kn is its range speed</t>
  </si>
  <si>
    <t>Kept</t>
  </si>
  <si>
    <t>https://www.superyachttimes.com/yachts/batello/overview</t>
  </si>
  <si>
    <t>A charter listing gives 14 kn cruise.</t>
  </si>
  <si>
    <t>Draft / range</t>
  </si>
  <si>
    <t>3.86 / 4500</t>
  </si>
  <si>
    <t>3.8 or 3.95 m; 4,400 nm at 14 kn</t>
  </si>
  <si>
    <t>https://www.superyachttimes.com/yachts/wheels-76m/overview ; https://www.yachtcharterfleet.com/luxury-charter-yacht-22321/wheels.htm</t>
  </si>
  <si>
    <t>Register figures come from Fraser listing.</t>
  </si>
  <si>
    <t>9 (one charter listing)</t>
  </si>
  <si>
    <t>https://www.yachtcharterfleet.com/luxury-charter-yacht-22959/sunrays.htm</t>
  </si>
  <si>
    <t>Low confidence.</t>
  </si>
  <si>
    <t>IMO / MMSI / call sign / flag / GT</t>
  </si>
  <si>
    <t>1010351 / 319015100 / ZGAF2 / Cayman / 2867</t>
  </si>
  <si>
    <t>Internal checks pass; not re-verified externally</t>
  </si>
  <si>
    <t>NOT RE-VERIFIED</t>
  </si>
  <si>
    <t>Data gap added</t>
  </si>
  <si>
    <t>Search budget exhausted.</t>
  </si>
  <si>
    <t>Sold 2024 (Ali Riza Yildirim); listed for sale again with Fraser, Dec 2025</t>
  </si>
  <si>
    <t>INFO</t>
  </si>
  <si>
    <t>No register change</t>
  </si>
  <si>
    <t>Listed for sale, €208M after July 2026 reduction</t>
  </si>
  <si>
    <t>https://www.boatinternational.com/yacht-market-intelligence/brokerage-sales-news/90m-oceanco-motor-yacht-luna-for-sale</t>
  </si>
  <si>
    <t>BOAT also credits Azure as naval architect.</t>
  </si>
  <si>
    <t>Reported for sale (May 2026), not confirmed</t>
  </si>
  <si>
    <t>https://maritime-executive.com/article/jeff-bezos-is-reported-to-be-selling-the-world-s-largest-sailing-yacht</t>
  </si>
  <si>
    <t>Y707 / Y708</t>
  </si>
  <si>
    <t>Malaysia confirmed as current; Cayman identities on some trackers are older</t>
  </si>
  <si>
    <t>CONFIRMED</t>
  </si>
  <si>
    <t>https://maritimeoptima.com/public/vessels/pages/imo:1011202/mmsi:533132675/MY_NIRVANA.html ; https://www.vesseltracker.com/en/Ships/Amore-Vero-1011757.html</t>
  </si>
  <si>
    <t>All 22</t>
  </si>
  <si>
    <t>Yard no., current name, delivery year, IMO</t>
  </si>
  <si>
    <t>Confirmed for every vessel</t>
  </si>
  <si>
    <t>Per-vessel sources in audit notes</t>
  </si>
  <si>
    <t>Samsara confirmed as the 89m ex-Infinity; SHODAN as the 90m ex-DreAMBoat; LUNA as ex-Dar.</t>
  </si>
  <si>
    <t>All 21 (not Y705)</t>
  </si>
  <si>
    <t>Confirmed</t>
  </si>
  <si>
    <t>vesseltracker / MagicPort / MarineTraffic / maritimeoptima</t>
  </si>
  <si>
    <t>KAOS alternate identity noted above.</t>
  </si>
  <si>
    <t>Unmapped yard no.</t>
  </si>
  <si>
    <t>Over-100m project in build (BOAT, 2023); no name published</t>
  </si>
  <si>
    <t>https://www.boatinternational.com/yachts/news/oceanco-seven-seas-delivered</t>
  </si>
  <si>
    <t>Y727</t>
  </si>
  <si>
    <t>130m (129.6m) project, contracted Sept 2025, LR class, delivery 2030</t>
  </si>
  <si>
    <t>https://www.superyachts.com/news/story/oceanco-signs-contract-for-its-largest-ever-130m-project-y727-at-monaco-yacht-show-17841/</t>
  </si>
  <si>
    <t>Y729</t>
  </si>
  <si>
    <t>80m, ~2600GT; Espen Øino ext., Zuretti int., Oceanco/Lateral NA; delivery 2027</t>
  </si>
  <si>
    <t>https://www.yachtbuyer.com/en/fleet/oceanco-y729-262-oceanco</t>
  </si>
  <si>
    <t>Y713 / Y724 / Y725 / Y728 / Y730</t>
  </si>
  <si>
    <t>No public mapping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</si>
</sst>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 mmm yyyy"/>
    <numFmt numFmtId="165" formatCode="#,##0.0"/>
    <numFmt numFmtId="166" formatCode="0.00;[Red]-0.00;–"/>
    <numFmt numFmtId="167" formatCode="#,##0;[Red]-#,##0;–"/>
  </numFmts>
  <fonts count="14" x14ac:knownFonts="1">
    <font>
      <color theme="1"/>
      <family val="2"/>
      <scheme val="minor"/>
      <sz val="11"/>
      <name val="Calibri"/>
    </font>
    <font>
      <b/>
      <color rgb="FFFFFFFF"/>
      <sz val="22"/>
      <name val="Aptos"/>
    </font>
    <font>
      <b/>
      <color rgb="FF116E78"/>
      <sz val="10"/>
      <name val="Aptos"/>
    </font>
    <font>
      <color rgb="FF233746"/>
      <sz val="11"/>
      <name val="Aptos"/>
    </font>
    <font>
      <b/>
      <color rgb="FFFFFFFF"/>
      <sz val="10"/>
      <name val="Aptos"/>
    </font>
    <font>
      <b/>
      <color rgb="FF173349"/>
      <sz val="28"/>
      <name val="Aptos"/>
    </font>
    <font>
      <b/>
      <color rgb="FFFFFFFF"/>
      <sz val="11"/>
      <name val="Aptos"/>
    </font>
    <font>
      <b/>
      <color rgb="FF116E78"/>
      <sz val="11"/>
      <name val="Aptos"/>
    </font>
    <font>
      <color rgb="FF657682"/>
      <sz val="10"/>
      <name val="Aptos"/>
    </font>
    <font>
      <b/>
      <color rgb="FFFFFFFF"/>
      <sz val="20"/>
      <name val="Aptos"/>
    </font>
    <font>
      <color rgb="FF233746"/>
      <sz val="10"/>
      <name val="Aptos"/>
    </font>
    <font>
      <b/>
      <color rgb="FF173349"/>
      <sz val="10"/>
      <name val="Aptos"/>
    </font>
    <font>
      <b/>
      <sz val="13"/>
    </font>
    <font>
      <b/>
      <color rgb="FFFFFFFF"/>
    </font>
  </fonts>
  <fills count="8">
    <fill>
      <patternFill patternType="none"/>
    </fill>
    <fill>
      <patternFill patternType="gray125"/>
    </fill>
    <fill>
      <patternFill patternType="solid">
        <fgColor rgb="FF173349"/>
      </patternFill>
    </fill>
    <fill>
      <patternFill patternType="solid">
        <fgColor rgb="FFEAF2F5"/>
      </patternFill>
    </fill>
    <fill>
      <patternFill patternType="solid">
        <fgColor rgb="FF116E78"/>
      </patternFill>
    </fill>
    <fill>
      <patternFill patternType="solid">
        <fgColor rgb="FFF4F6F8"/>
      </patternFill>
    </fill>
    <fill>
      <patternFill patternType="solid">
        <fgColor rgb="FFFFF1D6"/>
      </patternFill>
    </fill>
    <fill>
      <patternFill patternType="solid">
        <fgColor rgb="FF1F3A5F"/>
      </patternFill>
    </fill>
  </fills>
  <borders count="1">
    <border>
      <left/>
      <right/>
      <top/>
      <bottom/>
      <diagonal/>
    </border>
  </borders>
  <cellStyleXfs count="1">
    <xf numFmtId="0" fontId="0" fillId="0" borderId="0"/>
  </cellStyleXfs>
  <cellXfs count="31">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3" fillId="0" borderId="0" xfId="0" applyFont="1" applyAlignment="1">
      <alignment vertical="center" wrapText="1"/>
    </xf>
    <xf numFmtId="0" fontId="4" fillId="4" borderId="0" xfId="0" applyFont="1" applyFill="1" applyAlignment="1">
      <alignment vertical="center" wrapText="1"/>
    </xf>
    <xf numFmtId="0" fontId="5" fillId="3" borderId="0" xfId="0" applyFont="1" applyFill="1" applyAlignment="1">
      <alignment horizontal="center" vertical="center" wrapText="1"/>
    </xf>
    <xf numFmtId="0" fontId="3" fillId="5" borderId="0" xfId="0" applyFont="1" applyFill="1" applyAlignment="1">
      <alignment vertical="center" wrapText="1"/>
    </xf>
    <xf numFmtId="0" fontId="6" fillId="4" borderId="0" xfId="0" applyFont="1" applyFill="1" applyAlignment="1">
      <alignment vertical="center" wrapText="1"/>
    </xf>
    <xf numFmtId="0" fontId="7" fillId="5" borderId="0" xfId="0" applyFont="1" applyFill="1" applyAlignment="1">
      <alignment vertical="center" wrapText="1"/>
    </xf>
    <xf numFmtId="0" fontId="7" fillId="0" borderId="0" xfId="0" applyFont="1" applyAlignment="1">
      <alignment vertical="center" wrapText="1"/>
    </xf>
    <xf numFmtId="0" fontId="6" fillId="2" borderId="0" xfId="0" applyFont="1" applyFill="1" applyAlignment="1">
      <alignment vertical="center" wrapText="1"/>
    </xf>
    <xf numFmtId="0" fontId="3" fillId="6" borderId="0" xfId="0" applyFont="1" applyFill="1" applyAlignment="1">
      <alignment vertical="center" wrapText="1"/>
    </xf>
    <xf numFmtId="0" fontId="7" fillId="3" borderId="0" xfId="0" applyFont="1" applyFill="1" applyAlignment="1">
      <alignment vertical="center" wrapText="1"/>
    </xf>
    <xf numFmtId="0" fontId="8" fillId="0" borderId="0" xfId="0" applyFont="1" applyAlignment="1">
      <alignment vertical="center" wrapText="1"/>
    </xf>
    <xf numFmtId="0" fontId="9" fillId="2" borderId="0" xfId="0" applyFont="1" applyFill="1" applyAlignment="1">
      <alignment vertical="top" wrapText="1"/>
    </xf>
    <xf numFmtId="0" fontId="10" fillId="3"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49" fontId="10" fillId="0" borderId="0" xfId="0" applyNumberFormat="1" applyFont="1" applyAlignment="1">
      <alignment vertical="top" wrapText="1"/>
    </xf>
    <xf numFmtId="2" fontId="10" fillId="0" borderId="0" xfId="0" applyNumberFormat="1" applyFont="1" applyAlignment="1">
      <alignment vertical="top" wrapText="1"/>
    </xf>
    <xf numFmtId="3" fontId="10" fillId="0" borderId="0" xfId="0" applyNumberFormat="1" applyFont="1" applyAlignment="1">
      <alignment vertical="top" wrapText="1"/>
    </xf>
    <xf numFmtId="164" fontId="10" fillId="0" borderId="0" xfId="0" applyNumberFormat="1" applyFont="1" applyAlignment="1">
      <alignment vertical="top" wrapText="1"/>
    </xf>
    <xf numFmtId="0" fontId="10" fillId="6" borderId="0" xfId="0" applyFont="1" applyFill="1" applyAlignment="1">
      <alignment vertical="top" wrapText="1"/>
    </xf>
    <xf numFmtId="3" fontId="10" fillId="6" borderId="0" xfId="0" applyNumberFormat="1" applyFont="1" applyFill="1" applyAlignment="1">
      <alignment vertical="top" wrapText="1"/>
    </xf>
    <xf numFmtId="165" fontId="10" fillId="0" borderId="0" xfId="0" applyNumberFormat="1" applyFont="1" applyAlignment="1">
      <alignment vertical="top" wrapText="1"/>
    </xf>
    <xf numFmtId="1" fontId="10" fillId="0" borderId="0" xfId="0" applyNumberFormat="1" applyFont="1" applyAlignment="1">
      <alignment vertical="top" wrapText="1"/>
    </xf>
    <xf numFmtId="166" fontId="10" fillId="0" borderId="0" xfId="0" applyNumberFormat="1" applyFont="1" applyAlignment="1">
      <alignment vertical="top" wrapText="1"/>
    </xf>
    <xf numFmtId="167" fontId="10" fillId="0" borderId="0" xfId="0" applyNumberFormat="1" applyFont="1" applyAlignment="1">
      <alignment vertical="top" wrapText="1"/>
    </xf>
    <xf numFmtId="0" fontId="12" fillId="0" borderId="0" xfId="0" applyFont="1"/>
    <xf numFmtId="0" fontId="0" fillId="0" borderId="0" xfId="0" applyAlignment="1">
      <alignment vertical="top" wrapText="1"/>
    </xf>
    <xf numFmtId="0" fontId="13" fillId="7" borderId="0" xfId="0" applyFont="1" applyFill="1" applyAlignment="1">
      <alignment vertical="center" wrapText="1"/>
    </xf>
  </cellXfs>
  <cellStyles count="1">
    <cellStyle name="Normal" xfId="0" builtinId="0"/>
  </cellStyles>
  <dxfs count="3">
    <dxf>
      <font>
        <b/>
      </font>
      <fill>
        <patternFill patternType="solid">
          <bgColor rgb="FFFFF1D6"/>
        </patternFill>
      </fill>
    </dxf>
    <dxf>
      <fill>
        <patternFill patternType="solid">
          <bgColor rgb="FFFFF1D6"/>
        </patternFill>
      </fill>
    </dxf>
    <dxf>
      <font>
        <b/>
      </font>
      <fill>
        <patternFill patternType="solid">
          <bgColor rgb="FFF9D9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VesselRegisterTable" displayName="VesselRegisterTable" ref="A4:T26" totalsRowShown="1" headerRowCount="1">
  <autoFilter ref="A4:T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name="Yard ID"/>
    <tableColumn id="2" name="Published vessel name"/>
    <tableColumn id="3" name="Former names / aliases"/>
    <tableColumn id="4" name="Delivered (year)"/>
    <tableColumn id="5" name="Vessel type"/>
    <tableColumn id="6" name="IMO"/>
    <tableColumn id="7" name="MMSI"/>
    <tableColumn id="8" name="Call sign"/>
    <tableColumn id="9" name="Published flag"/>
    <tableColumn id="10" name="Preferred LOA (m)"/>
    <tableColumn id="11" name="Preferred beam (m)"/>
    <tableColumn id="12" name="Working GT"/>
    <tableColumn id="13" name="LOA / beam basis"/>
    <tableColumn id="14" name="GT basis / qualification"/>
    <tableColumn id="15" name="Identity qualification"/>
    <tableColumn id="16" name="Dimensions / name notes"/>
    <tableColumn id="17" name="Builder URL"/>
    <tableColumn id="18" name="Database URL"/>
    <tableColumn id="19" name="Identity supplement URL"/>
    <tableColumn id="20" name="Checked 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echnicalParticularsTable" displayName="TechnicalParticularsTable" ref="A4:W26" totalsRowShown="1" headerRowCount="1">
  <autoFilter ref="A4:W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Yard ID"/>
    <tableColumn id="2" name="Vessel"/>
    <tableColumn id="3" name="Draft (m) [published]"/>
    <tableColumn id="4" name="Hull"/>
    <tableColumn id="5" name="Superstructure"/>
    <tableColumn id="6" name="Naval architecture / engineering"/>
    <tableColumn id="7" name="Exterior design"/>
    <tableColumn id="8" name="Interior design"/>
    <tableColumn id="9" name="Main machinery"/>
    <tableColumn id="10" name="Propulsion / energy"/>
    <tableColumn id="11" name="Cruise (kn)"/>
    <tableColumn id="12" name="Max motor (kn)"/>
    <tableColumn id="13" name="Max sail (kn)"/>
    <tableColumn id="14" name="Range (nm)"/>
    <tableColumn id="15" name="Guests [published]"/>
    <tableColumn id="16" name="Guest cabins"/>
    <tableColumn id="17" name="Crew [published]"/>
    <tableColumn id="18" name="Class society [published]"/>
    <tableColumn id="19" name="Refit/rebuild identified"/>
    <tableColumn id="20" name="Selected features"/>
    <tableColumn id="21" name="Source IDs"/>
    <tableColumn id="22" name="Source URLs"/>
    <tableColumn id="23" name="Qualific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SourceComparisonTable" displayName="SourceComparisonTable" ref="A4:Q26" totalsRowShown="1" headerRowCount="1">
  <autoFilter ref="A4:Q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Yard ID"/>
    <tableColumn id="2" name="Vessel"/>
    <tableColumn id="3" name="Preferred LOA (m)"/>
    <tableColumn id="4" name="VF static LOA (m)"/>
    <tableColumn id="5" name="Δ LOA (m)"/>
    <tableColumn id="6" name="Preferred beam (m)"/>
    <tableColumn id="7" name="VF static beam (m)"/>
    <tableColumn id="8" name="Δ beam (m)"/>
    <tableColumn id="9" name="Working GT"/>
    <tableColumn id="10" name="VF static GT"/>
    <tableColumn id="11" name="Δ GT"/>
    <tableColumn id="12" name="Builder delivery year"/>
    <tableColumn id="13" name="VF build year [checked]"/>
    <tableColumn id="14" name="Year difference"/>
    <tableColumn id="15" name="Review flag"/>
    <tableColumn id="16" name="Key interpretation"/>
    <tableColumn id="17" name="Source UR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BuildSequenceTable" displayName="BuildSequenceTable" ref="A4:I30" totalsRowShown="1" headerRowCount="1">
  <autoFilter ref="A4:I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Build code"/>
    <tableColumn id="2" name="Mapped vessel"/>
    <tableColumn id="3" name="IMO"/>
    <tableColumn id="4" name="Delivered (year)"/>
    <tableColumn id="5" name="Scope status"/>
    <tableColumn id="6" name="Mapping evidence type"/>
    <tableColumn id="7" name="Mapping source ID"/>
    <tableColumn id="8" name="Mapping source URL"/>
    <tableColumn id="9" name="Qualific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FieldEvidenceTable" displayName="FieldEvidenceTable" ref="A4:K459" totalsRowShown="1" headerRowCount="1">
  <autoFilter ref="A4:K45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Yard ID"/>
    <tableColumn id="2" name="Vessel"/>
    <tableColumn id="3" name="IMO"/>
    <tableColumn id="4" name="Field"/>
    <tableColumn id="5" name="Observed value"/>
    <tableColumn id="6" name="Unit"/>
    <tableColumn id="7" name="Observation basis"/>
    <tableColumn id="8" name="Qualification"/>
    <tableColumn id="9" name="Source ID"/>
    <tableColumn id="10" name="Source URL"/>
    <tableColumn id="11" name="Checked 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SourcesTable" displayName="SourcesTable" ref="A4:H89" totalsRowShown="1" headerRowCount="1">
  <autoFilter ref="A4:H8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Source ID"/>
    <tableColumn id="2" name="Publisher"/>
    <tableColumn id="3" name="Source type"/>
    <tableColumn id="4" name="Vessel / scope"/>
    <tableColumn id="5" name="Fields supported"/>
    <tableColumn id="6" name="Source URL"/>
    <tableColumn id="7" name="Access date"/>
    <tableColumn id="8" name="Limitations /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DataGapsTable" displayName="DataGapsTable" ref="A4:G29" totalsRowShown="1" headerRowCount="1">
  <autoFilter ref="A4:G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Priority"/>
    <tableColumn id="2" name="Scope / vessel"/>
    <tableColumn id="3" name="Field or issue"/>
    <tableColumn id="4" name="Treatment in this release"/>
    <tableColumn id="5" name="Evidence needed to close"/>
    <tableColumn id="6" name="Status"/>
    <tableColumn id="7" name="Source / refer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FormatPr defaultRowHeight="15" outlineLevelRow="0" outlineLevelCol="0" x14ac:dyDescent="0"/>
  <cols>
    <col min="1" max="8" width="17" customWidth="1"/>
  </cols>
  <sheetData>
    <row r="1" ht="30" customHeight="1" spans="1:8" x14ac:dyDescent="0.25">
      <c r="A1" s="1" t="s">
        <v>0</v>
      </c>
      <c r="B1" s="1"/>
      <c r="C1" s="1"/>
      <c r="D1" s="1"/>
      <c r="E1" s="1"/>
      <c r="F1" s="1"/>
      <c r="G1" s="1"/>
      <c r="H1" s="1"/>
    </row>
    <row r="2" ht="30" customHeight="1" spans="1:8" x14ac:dyDescent="0.25">
      <c r="A2" s="1"/>
      <c r="B2" s="1"/>
      <c r="C2" s="1"/>
      <c r="D2" s="1"/>
      <c r="E2" s="1"/>
      <c r="F2" s="1"/>
      <c r="G2" s="1"/>
      <c r="H2" s="1"/>
    </row>
    <row r="3" ht="29" customHeight="1" spans="1:8" x14ac:dyDescent="0.25">
      <c r="A3" s="2" t="s">
        <v>1</v>
      </c>
      <c r="B3" s="2"/>
      <c r="C3" s="2"/>
      <c r="D3" s="2"/>
      <c r="E3" s="2"/>
      <c r="F3" s="2"/>
      <c r="G3" s="2"/>
      <c r="H3" s="2"/>
    </row>
    <row r="4" ht="25" customHeight="1" spans="1:8" x14ac:dyDescent="0.25">
      <c r="A4" s="3"/>
      <c r="B4" s="3"/>
      <c r="C4" s="3"/>
      <c r="D4" s="3"/>
      <c r="E4" s="3"/>
      <c r="F4" s="3"/>
      <c r="G4" s="3"/>
      <c r="H4" s="3"/>
    </row>
    <row r="5" ht="26" customHeight="1" spans="1:8" x14ac:dyDescent="0.25">
      <c r="A5" s="4" t="s">
        <v>2</v>
      </c>
      <c r="B5" s="4"/>
      <c r="C5" s="4" t="s">
        <v>3</v>
      </c>
      <c r="D5" s="4"/>
      <c r="E5" s="4" t="s">
        <v>4</v>
      </c>
      <c r="F5" s="4"/>
      <c r="G5" s="4" t="s">
        <v>5</v>
      </c>
      <c r="H5" s="4"/>
    </row>
    <row r="6" ht="25" customHeight="1" spans="1:8" x14ac:dyDescent="0.25">
      <c r="A6" s="5">
        <f>COUNTA('Vessel Register'!B5:B26)</f>
        <v>22</v>
      </c>
      <c r="B6" s="5"/>
      <c r="C6" s="5">
        <f>COUNTA('Vessel Register'!G5:G26)</f>
        <v>22</v>
      </c>
      <c r="D6" s="5"/>
      <c r="E6" s="5">
        <f>MIN('Vessel Register'!D5:D26)</f>
        <v>2007</v>
      </c>
      <c r="F6" s="5"/>
      <c r="G6" s="5">
        <f>MAX('Vessel Register'!D5:D26)</f>
        <v>2025</v>
      </c>
      <c r="H6" s="5"/>
    </row>
    <row r="7" ht="25" customHeight="1" spans="1:8" x14ac:dyDescent="0.25">
      <c r="A7" s="5"/>
      <c r="B7" s="5"/>
      <c r="C7" s="5"/>
      <c r="D7" s="5"/>
      <c r="E7" s="5"/>
      <c r="F7" s="5"/>
      <c r="G7" s="5"/>
      <c r="H7" s="5"/>
    </row>
    <row r="8" ht="25" customHeight="1" spans="1:8" x14ac:dyDescent="0.25">
      <c r="A8" s="3"/>
      <c r="B8" s="3"/>
      <c r="C8" s="3"/>
      <c r="D8" s="3"/>
      <c r="E8" s="3"/>
      <c r="F8" s="3"/>
      <c r="G8" s="3"/>
      <c r="H8" s="3"/>
    </row>
    <row r="9" ht="27" customHeight="1" spans="1:8" x14ac:dyDescent="0.25">
      <c r="A9" s="6" t="s">
        <v>6</v>
      </c>
      <c r="B9" s="6"/>
      <c r="C9" s="6"/>
      <c r="D9" s="6"/>
      <c r="E9" s="6"/>
      <c r="F9" s="6"/>
      <c r="G9" s="6"/>
      <c r="H9" s="6"/>
    </row>
    <row r="10" ht="27" customHeight="1" spans="1:8" x14ac:dyDescent="0.25">
      <c r="A10" s="6"/>
      <c r="B10" s="6"/>
      <c r="C10" s="6"/>
      <c r="D10" s="6"/>
      <c r="E10" s="6"/>
      <c r="F10" s="6"/>
      <c r="G10" s="6"/>
      <c r="H10" s="6"/>
    </row>
    <row r="11" ht="25" customHeight="1" spans="1:8" x14ac:dyDescent="0.25">
      <c r="A11" s="3"/>
      <c r="B11" s="3"/>
      <c r="C11" s="3"/>
      <c r="D11" s="3"/>
      <c r="E11" s="3"/>
      <c r="F11" s="3"/>
      <c r="G11" s="3"/>
      <c r="H11" s="3"/>
    </row>
    <row r="12" ht="25" customHeight="1" spans="1:8" x14ac:dyDescent="0.25">
      <c r="A12" s="7" t="s">
        <v>7</v>
      </c>
      <c r="B12" s="7"/>
      <c r="C12" s="7" t="s">
        <v>8</v>
      </c>
      <c r="D12" s="7"/>
      <c r="E12" s="7"/>
      <c r="F12" s="7"/>
      <c r="G12" s="7"/>
      <c r="H12" s="7"/>
    </row>
    <row r="13" ht="38" customHeight="1" spans="1:8" x14ac:dyDescent="0.25">
      <c r="A13" s="8" t="s">
        <v>9</v>
      </c>
      <c r="B13" s="8"/>
      <c r="C13" s="6" t="s">
        <v>10</v>
      </c>
      <c r="D13" s="6"/>
      <c r="E13" s="6"/>
      <c r="F13" s="6"/>
      <c r="G13" s="6"/>
      <c r="H13" s="6"/>
    </row>
    <row r="14" ht="38" customHeight="1" spans="1:8" x14ac:dyDescent="0.25">
      <c r="A14" s="9" t="s">
        <v>11</v>
      </c>
      <c r="B14" s="9"/>
      <c r="C14" s="3" t="s">
        <v>12</v>
      </c>
      <c r="D14" s="3"/>
      <c r="E14" s="3"/>
      <c r="F14" s="3"/>
      <c r="G14" s="3"/>
      <c r="H14" s="3"/>
    </row>
    <row r="15" ht="38" customHeight="1" spans="1:8" x14ac:dyDescent="0.25">
      <c r="A15" s="8" t="s">
        <v>13</v>
      </c>
      <c r="B15" s="8"/>
      <c r="C15" s="6" t="s">
        <v>14</v>
      </c>
      <c r="D15" s="6"/>
      <c r="E15" s="6"/>
      <c r="F15" s="6"/>
      <c r="G15" s="6"/>
      <c r="H15" s="6"/>
    </row>
    <row r="16" ht="38" customHeight="1" spans="1:8" x14ac:dyDescent="0.25">
      <c r="A16" s="9" t="s">
        <v>15</v>
      </c>
      <c r="B16" s="9"/>
      <c r="C16" s="3" t="s">
        <v>16</v>
      </c>
      <c r="D16" s="3"/>
      <c r="E16" s="3"/>
      <c r="F16" s="3"/>
      <c r="G16" s="3"/>
      <c r="H16" s="3"/>
    </row>
    <row r="17" ht="38" customHeight="1" spans="1:8" x14ac:dyDescent="0.25">
      <c r="A17" s="8" t="s">
        <v>17</v>
      </c>
      <c r="B17" s="8"/>
      <c r="C17" s="6" t="s">
        <v>18</v>
      </c>
      <c r="D17" s="6"/>
      <c r="E17" s="6"/>
      <c r="F17" s="6"/>
      <c r="G17" s="6"/>
      <c r="H17" s="6"/>
    </row>
    <row r="18" ht="38" customHeight="1" spans="1:8" x14ac:dyDescent="0.25">
      <c r="A18" s="9" t="s">
        <v>19</v>
      </c>
      <c r="B18" s="9"/>
      <c r="C18" s="3" t="s">
        <v>20</v>
      </c>
      <c r="D18" s="3"/>
      <c r="E18" s="3"/>
      <c r="F18" s="3"/>
      <c r="G18" s="3"/>
      <c r="H18" s="3"/>
    </row>
    <row r="19" ht="38" customHeight="1" spans="1:8" x14ac:dyDescent="0.25">
      <c r="A19" s="8" t="s">
        <v>21</v>
      </c>
      <c r="B19" s="8"/>
      <c r="C19" s="6" t="s">
        <v>22</v>
      </c>
      <c r="D19" s="6"/>
      <c r="E19" s="6"/>
      <c r="F19" s="6"/>
      <c r="G19" s="6"/>
      <c r="H19" s="6"/>
    </row>
    <row r="20" ht="25" customHeight="1" spans="1:8" x14ac:dyDescent="0.25">
      <c r="A20" s="3"/>
      <c r="B20" s="3"/>
      <c r="C20" s="3"/>
      <c r="D20" s="3"/>
      <c r="E20" s="3"/>
      <c r="F20" s="3"/>
      <c r="G20" s="3"/>
      <c r="H20" s="3"/>
    </row>
    <row r="21" ht="25" customHeight="1" spans="1:8" x14ac:dyDescent="0.25">
      <c r="A21" s="10" t="s">
        <v>23</v>
      </c>
      <c r="B21" s="10"/>
      <c r="C21" s="10"/>
      <c r="D21" s="10"/>
      <c r="E21" s="10"/>
      <c r="F21" s="10"/>
      <c r="G21" s="10"/>
      <c r="H21" s="10"/>
    </row>
    <row r="22" ht="28" customHeight="1" spans="1:8" x14ac:dyDescent="0.25">
      <c r="A22" s="11" t="s">
        <v>24</v>
      </c>
      <c r="B22" s="11"/>
      <c r="C22" s="11"/>
      <c r="D22" s="11"/>
      <c r="E22" s="11"/>
      <c r="F22" s="11"/>
      <c r="G22" s="11"/>
      <c r="H22" s="11"/>
    </row>
    <row r="23" ht="28" customHeight="1" spans="1:8" x14ac:dyDescent="0.25">
      <c r="A23" s="11"/>
      <c r="B23" s="11"/>
      <c r="C23" s="11"/>
      <c r="D23" s="11"/>
      <c r="E23" s="11"/>
      <c r="F23" s="11"/>
      <c r="G23" s="11"/>
      <c r="H23" s="11"/>
    </row>
    <row r="24" ht="28" customHeight="1" spans="1:8" x14ac:dyDescent="0.25">
      <c r="A24" s="6" t="s">
        <v>25</v>
      </c>
      <c r="B24" s="6"/>
      <c r="C24" s="6"/>
      <c r="D24" s="6"/>
      <c r="E24" s="6"/>
      <c r="F24" s="6"/>
      <c r="G24" s="6"/>
      <c r="H24" s="6"/>
    </row>
    <row r="25" ht="28" customHeight="1" spans="1:8" x14ac:dyDescent="0.25">
      <c r="A25" s="6"/>
      <c r="B25" s="6"/>
      <c r="C25" s="6"/>
      <c r="D25" s="6"/>
      <c r="E25" s="6"/>
      <c r="F25" s="6"/>
      <c r="G25" s="6"/>
      <c r="H25" s="6"/>
    </row>
    <row r="26" ht="28" customHeight="1" spans="1:8" x14ac:dyDescent="0.25">
      <c r="A26" s="6" t="s">
        <v>26</v>
      </c>
      <c r="B26" s="6"/>
      <c r="C26" s="6"/>
      <c r="D26" s="6"/>
      <c r="E26" s="6"/>
      <c r="F26" s="6"/>
      <c r="G26" s="6"/>
      <c r="H26" s="6"/>
    </row>
    <row r="27" ht="28" customHeight="1" spans="1:8" x14ac:dyDescent="0.25">
      <c r="A27" s="6"/>
      <c r="B27" s="6"/>
      <c r="C27" s="6"/>
      <c r="D27" s="6"/>
      <c r="E27" s="6"/>
      <c r="F27" s="6"/>
      <c r="G27" s="6"/>
      <c r="H27" s="6"/>
    </row>
    <row r="28" ht="28" customHeight="1" spans="1:8" x14ac:dyDescent="0.25">
      <c r="A28" s="6" t="s">
        <v>27</v>
      </c>
      <c r="B28" s="6"/>
      <c r="C28" s="6"/>
      <c r="D28" s="6"/>
      <c r="E28" s="6"/>
      <c r="F28" s="6"/>
      <c r="G28" s="6"/>
      <c r="H28" s="6"/>
    </row>
    <row r="29" ht="28" customHeight="1" spans="1:8" x14ac:dyDescent="0.25">
      <c r="A29" s="6"/>
      <c r="B29" s="6"/>
      <c r="C29" s="6"/>
      <c r="D29" s="6"/>
      <c r="E29" s="6"/>
      <c r="F29" s="6"/>
      <c r="G29" s="6"/>
      <c r="H29" s="6"/>
    </row>
    <row r="30" ht="28" customHeight="1" spans="1:8" x14ac:dyDescent="0.25">
      <c r="A30" s="6" t="s">
        <v>28</v>
      </c>
      <c r="B30" s="6"/>
      <c r="C30" s="6"/>
      <c r="D30" s="6"/>
      <c r="E30" s="6"/>
      <c r="F30" s="6"/>
      <c r="G30" s="6"/>
      <c r="H30" s="6"/>
    </row>
    <row r="31" ht="28" customHeight="1" spans="1:8" x14ac:dyDescent="0.25">
      <c r="A31" s="6"/>
      <c r="B31" s="6"/>
      <c r="C31" s="6"/>
      <c r="D31" s="6"/>
      <c r="E31" s="6"/>
      <c r="F31" s="6"/>
      <c r="G31" s="6"/>
      <c r="H31" s="6"/>
    </row>
    <row r="32" ht="28" customHeight="1" spans="1:8" x14ac:dyDescent="0.25">
      <c r="A32" s="11" t="s">
        <v>29</v>
      </c>
      <c r="B32" s="11"/>
      <c r="C32" s="11"/>
      <c r="D32" s="11"/>
      <c r="E32" s="11"/>
      <c r="F32" s="11"/>
      <c r="G32" s="11"/>
      <c r="H32" s="11"/>
    </row>
    <row r="33" ht="28" customHeight="1" spans="1:8" x14ac:dyDescent="0.25">
      <c r="A33" s="11"/>
      <c r="B33" s="11"/>
      <c r="C33" s="11"/>
      <c r="D33" s="11"/>
      <c r="E33" s="11"/>
      <c r="F33" s="11"/>
      <c r="G33" s="11"/>
      <c r="H33" s="11"/>
    </row>
    <row r="34" ht="28" customHeight="1" spans="1:8" x14ac:dyDescent="0.25">
      <c r="A34" s="6" t="s">
        <v>30</v>
      </c>
      <c r="B34" s="6"/>
      <c r="C34" s="6"/>
      <c r="D34" s="6"/>
      <c r="E34" s="6"/>
      <c r="F34" s="6"/>
      <c r="G34" s="6"/>
      <c r="H34" s="6"/>
    </row>
    <row r="35" ht="28" customHeight="1" spans="1:8" x14ac:dyDescent="0.25">
      <c r="A35" s="6"/>
      <c r="B35" s="6"/>
      <c r="C35" s="6"/>
      <c r="D35" s="6"/>
      <c r="E35" s="6"/>
      <c r="F35" s="6"/>
      <c r="G35" s="6"/>
      <c r="H35" s="6"/>
    </row>
    <row r="36" ht="25" customHeight="1" spans="1:8" x14ac:dyDescent="0.25">
      <c r="A36" s="3" t="s">
        <v>31</v>
      </c>
      <c r="B36" s="3"/>
      <c r="C36" s="3"/>
      <c r="D36" s="3"/>
      <c r="E36" s="3"/>
      <c r="F36" s="3"/>
      <c r="G36" s="3"/>
      <c r="H36" s="3"/>
    </row>
    <row r="37" ht="25" customHeight="1" spans="1:8" x14ac:dyDescent="0.25">
      <c r="A37" s="12" t="s">
        <v>32</v>
      </c>
      <c r="B37" s="12"/>
      <c r="C37" s="12"/>
      <c r="D37" s="12"/>
      <c r="E37" s="12"/>
      <c r="F37" s="12"/>
      <c r="G37" s="12">
        <f>COUNTA('Field Evidence'!D5:D459)</f>
        <v>455</v>
      </c>
      <c r="H37" s="12">
        <f>COUNTA(Sources!A5:A89)</f>
        <v>85</v>
      </c>
    </row>
    <row r="38" ht="25" customHeight="1" spans="1:8" x14ac:dyDescent="0.25">
      <c r="A38" s="3"/>
      <c r="B38" s="3"/>
      <c r="C38" s="3"/>
      <c r="D38" s="3"/>
      <c r="E38" s="3"/>
      <c r="F38" s="3"/>
      <c r="G38" s="3"/>
      <c r="H38" s="3"/>
    </row>
    <row r="39" ht="30" customHeight="1" spans="1:8" x14ac:dyDescent="0.25">
      <c r="A39" s="13" t="s">
        <v>33</v>
      </c>
      <c r="B39" s="13"/>
      <c r="C39" s="13"/>
      <c r="D39" s="13"/>
      <c r="E39" s="13"/>
      <c r="F39" s="13"/>
      <c r="G39" s="13"/>
      <c r="H39" s="13"/>
    </row>
  </sheetData>
  <mergeCells count="37">
    <mergeCell ref="A1:H2"/>
    <mergeCell ref="A3:H3"/>
    <mergeCell ref="A5:B5"/>
    <mergeCell ref="C5:D5"/>
    <mergeCell ref="E5:F5"/>
    <mergeCell ref="G5:H5"/>
    <mergeCell ref="A6:B7"/>
    <mergeCell ref="C6:D7"/>
    <mergeCell ref="E6:F7"/>
    <mergeCell ref="G6:H7"/>
    <mergeCell ref="A9:H10"/>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A19:B19"/>
    <mergeCell ref="C19:H19"/>
    <mergeCell ref="A21:H21"/>
    <mergeCell ref="A22:H23"/>
    <mergeCell ref="A24:H25"/>
    <mergeCell ref="A26:H27"/>
    <mergeCell ref="A28:H29"/>
    <mergeCell ref="A30:H31"/>
    <mergeCell ref="A32:H33"/>
    <mergeCell ref="A34:H35"/>
    <mergeCell ref="A37:F37"/>
    <mergeCell ref="A39:H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FormatPr defaultRowHeight="15" outlineLevelRow="0" outlineLevelCol="0" x14ac:dyDescent="0"/>
  <cols>
    <col min="1" max="1" width="10" customWidth="1"/>
    <col min="2" max="2" width="23" customWidth="1"/>
    <col min="3" max="3" width="31" customWidth="1"/>
    <col min="4" max="4" width="13" customWidth="1"/>
    <col min="5" max="5" width="27" customWidth="1"/>
    <col min="6" max="6" width="13" customWidth="1"/>
    <col min="7" max="7" width="15" customWidth="1"/>
    <col min="8" max="8" width="13" customWidth="1"/>
    <col min="9" max="9" width="22" customWidth="1"/>
    <col min="10" max="11" width="13" customWidth="1"/>
    <col min="12" max="12" width="14" customWidth="1"/>
    <col min="13" max="13" width="31" customWidth="1"/>
    <col min="14" max="14" width="38" customWidth="1"/>
    <col min="15" max="16" width="40" customWidth="1"/>
    <col min="17" max="19" width="36" customWidth="1"/>
    <col min="20" max="20" width="15" customWidth="1"/>
  </cols>
  <sheetData>
    <row r="1" ht="38" customHeight="1" spans="1:20" x14ac:dyDescent="0.25">
      <c r="A1" s="14" t="s">
        <v>34</v>
      </c>
      <c r="B1" s="14"/>
      <c r="C1" s="14"/>
      <c r="D1" s="14"/>
      <c r="E1" s="14"/>
      <c r="F1" s="14"/>
      <c r="G1" s="14"/>
      <c r="H1" s="14"/>
      <c r="I1" s="14"/>
      <c r="J1" s="14"/>
      <c r="K1" s="14"/>
      <c r="L1" s="14"/>
      <c r="M1" s="14"/>
      <c r="N1" s="14"/>
      <c r="O1" s="14"/>
      <c r="P1" s="14"/>
      <c r="Q1" s="14"/>
      <c r="R1" s="14"/>
      <c r="S1" s="14"/>
      <c r="T1" s="14"/>
    </row>
    <row r="2" ht="36" customHeight="1" spans="1:20" x14ac:dyDescent="0.25">
      <c r="A2" s="15" t="s">
        <v>35</v>
      </c>
      <c r="B2" s="15"/>
      <c r="C2" s="15"/>
      <c r="D2" s="15"/>
      <c r="E2" s="15"/>
      <c r="F2" s="15"/>
      <c r="G2" s="15"/>
      <c r="H2" s="15"/>
      <c r="I2" s="15"/>
      <c r="J2" s="15"/>
      <c r="K2" s="15"/>
      <c r="L2" s="15"/>
      <c r="M2" s="15"/>
      <c r="N2" s="15"/>
      <c r="O2" s="15"/>
      <c r="P2" s="15"/>
      <c r="Q2" s="15"/>
      <c r="R2" s="15"/>
      <c r="S2" s="15"/>
      <c r="T2" s="15"/>
    </row>
    <row r="3" ht="9" customHeight="1" spans="1:20" x14ac:dyDescent="0.25">
      <c r="A3" s="16"/>
      <c r="B3" s="16"/>
      <c r="C3" s="16"/>
      <c r="D3" s="16"/>
      <c r="E3" s="16"/>
      <c r="F3" s="16"/>
      <c r="G3" s="16"/>
      <c r="H3" s="16"/>
      <c r="I3" s="16"/>
      <c r="J3" s="16"/>
      <c r="K3" s="16"/>
      <c r="L3" s="16"/>
      <c r="M3" s="16"/>
      <c r="N3" s="16"/>
      <c r="O3" s="16"/>
      <c r="P3" s="16"/>
      <c r="Q3" s="16"/>
      <c r="R3" s="16"/>
      <c r="S3" s="16"/>
      <c r="T3" s="16"/>
    </row>
    <row r="4" ht="36" customHeight="1" spans="1:20" x14ac:dyDescent="0.25">
      <c r="A4" s="4" t="s">
        <v>36</v>
      </c>
      <c r="B4" s="4" t="s">
        <v>37</v>
      </c>
      <c r="C4" s="4" t="s">
        <v>38</v>
      </c>
      <c r="D4" s="4" t="s">
        <v>39</v>
      </c>
      <c r="E4" s="4" t="s">
        <v>40</v>
      </c>
      <c r="F4" s="4" t="s">
        <v>41</v>
      </c>
      <c r="G4" s="4" t="s">
        <v>42</v>
      </c>
      <c r="H4" s="4" t="s">
        <v>43</v>
      </c>
      <c r="I4" s="4" t="s">
        <v>44</v>
      </c>
      <c r="J4" s="4" t="s">
        <v>45</v>
      </c>
      <c r="K4" s="4" t="s">
        <v>46</v>
      </c>
      <c r="L4" s="4" t="s">
        <v>47</v>
      </c>
      <c r="M4" s="4" t="s">
        <v>48</v>
      </c>
      <c r="N4" s="4" t="s">
        <v>49</v>
      </c>
      <c r="O4" s="4" t="s">
        <v>50</v>
      </c>
      <c r="P4" s="4" t="s">
        <v>51</v>
      </c>
      <c r="Q4" s="4" t="s">
        <v>52</v>
      </c>
      <c r="R4" s="4" t="s">
        <v>53</v>
      </c>
      <c r="S4" s="4" t="s">
        <v>54</v>
      </c>
      <c r="T4" s="4" t="s">
        <v>55</v>
      </c>
    </row>
    <row r="5" ht="88" customHeight="1" spans="1:20" x14ac:dyDescent="0.25">
      <c r="A5" s="17" t="s">
        <v>56</v>
      </c>
      <c r="B5" s="17" t="s">
        <v>57</v>
      </c>
      <c r="C5" s="16" t="s">
        <v>58</v>
      </c>
      <c r="D5" s="16">
        <v>2007</v>
      </c>
      <c r="E5" s="16" t="s">
        <v>59</v>
      </c>
      <c r="F5" s="18" t="s">
        <v>60</v>
      </c>
      <c r="G5" s="18" t="s">
        <v>61</v>
      </c>
      <c r="H5" s="18" t="s">
        <v>62</v>
      </c>
      <c r="I5" s="16" t="s">
        <v>63</v>
      </c>
      <c r="J5" s="19">
        <v>80</v>
      </c>
      <c r="K5" s="19">
        <v>14.2</v>
      </c>
      <c r="L5" s="20">
        <v>2310</v>
      </c>
      <c r="M5" s="16" t="s">
        <v>64</v>
      </c>
      <c r="N5" s="16" t="s">
        <v>65</v>
      </c>
      <c r="O5" s="16" t="s">
        <v>66</v>
      </c>
      <c r="P5" s="16" t="s">
        <v>67</v>
      </c>
      <c r="Q5" s="16" t="s">
        <v>68</v>
      </c>
      <c r="R5" s="16" t="s">
        <v>69</v>
      </c>
      <c r="S5" s="16"/>
      <c r="T5" s="21">
        <v>46290</v>
      </c>
    </row>
    <row r="6" ht="88" customHeight="1" spans="1:20" x14ac:dyDescent="0.25">
      <c r="A6" s="17" t="s">
        <v>70</v>
      </c>
      <c r="B6" s="17" t="s">
        <v>71</v>
      </c>
      <c r="C6" s="16" t="s">
        <v>72</v>
      </c>
      <c r="D6" s="16">
        <v>2007</v>
      </c>
      <c r="E6" s="16" t="s">
        <v>59</v>
      </c>
      <c r="F6" s="18" t="s">
        <v>73</v>
      </c>
      <c r="G6" s="18" t="s">
        <v>74</v>
      </c>
      <c r="H6" s="18" t="s">
        <v>75</v>
      </c>
      <c r="I6" s="16" t="s">
        <v>76</v>
      </c>
      <c r="J6" s="19">
        <v>82</v>
      </c>
      <c r="K6" s="19">
        <v>14.2</v>
      </c>
      <c r="L6" s="20">
        <v>2159</v>
      </c>
      <c r="M6" s="16" t="s">
        <v>64</v>
      </c>
      <c r="N6" s="16" t="s">
        <v>65</v>
      </c>
      <c r="O6" s="16" t="s">
        <v>66</v>
      </c>
      <c r="P6" s="16" t="s">
        <v>77</v>
      </c>
      <c r="Q6" s="16" t="s">
        <v>78</v>
      </c>
      <c r="R6" s="16" t="s">
        <v>79</v>
      </c>
      <c r="S6" s="16"/>
      <c r="T6" s="21">
        <v>46290</v>
      </c>
    </row>
    <row r="7" ht="88" customHeight="1" spans="1:20" x14ac:dyDescent="0.25">
      <c r="A7" s="17" t="s">
        <v>80</v>
      </c>
      <c r="B7" s="17" t="s">
        <v>81</v>
      </c>
      <c r="C7" s="16" t="s">
        <v>82</v>
      </c>
      <c r="D7" s="16">
        <v>2008</v>
      </c>
      <c r="E7" s="16" t="s">
        <v>59</v>
      </c>
      <c r="F7" s="18" t="s">
        <v>83</v>
      </c>
      <c r="G7" s="18" t="s">
        <v>84</v>
      </c>
      <c r="H7" s="18" t="s">
        <v>85</v>
      </c>
      <c r="I7" s="16" t="s">
        <v>76</v>
      </c>
      <c r="J7" s="19">
        <v>75.5</v>
      </c>
      <c r="K7" s="19">
        <v>13.5</v>
      </c>
      <c r="L7" s="20">
        <v>1991</v>
      </c>
      <c r="M7" s="16" t="s">
        <v>64</v>
      </c>
      <c r="N7" s="16" t="s">
        <v>65</v>
      </c>
      <c r="O7" s="16" t="s">
        <v>66</v>
      </c>
      <c r="P7" s="16" t="s">
        <v>86</v>
      </c>
      <c r="Q7" s="16" t="s">
        <v>87</v>
      </c>
      <c r="R7" s="16" t="s">
        <v>88</v>
      </c>
      <c r="S7" s="16"/>
      <c r="T7" s="21">
        <v>46290</v>
      </c>
    </row>
    <row r="8" ht="88" customHeight="1" spans="1:20" x14ac:dyDescent="0.25">
      <c r="A8" s="17" t="s">
        <v>89</v>
      </c>
      <c r="B8" s="17" t="s">
        <v>90</v>
      </c>
      <c r="C8" s="16" t="s">
        <v>72</v>
      </c>
      <c r="D8" s="16">
        <v>2009</v>
      </c>
      <c r="E8" s="16" t="s">
        <v>59</v>
      </c>
      <c r="F8" s="18" t="s">
        <v>91</v>
      </c>
      <c r="G8" s="18" t="s">
        <v>92</v>
      </c>
      <c r="H8" s="18" t="s">
        <v>93</v>
      </c>
      <c r="I8" s="22" t="s">
        <v>76</v>
      </c>
      <c r="J8" s="19">
        <v>85.5</v>
      </c>
      <c r="K8" s="19">
        <v>14.2</v>
      </c>
      <c r="L8" s="20">
        <v>2822</v>
      </c>
      <c r="M8" s="16" t="s">
        <v>64</v>
      </c>
      <c r="N8" s="16" t="s">
        <v>65</v>
      </c>
      <c r="O8" s="16" t="s">
        <v>94</v>
      </c>
      <c r="P8" s="16" t="s">
        <v>95</v>
      </c>
      <c r="Q8" s="16" t="s">
        <v>96</v>
      </c>
      <c r="R8" s="16" t="s">
        <v>97</v>
      </c>
      <c r="S8" s="16" t="s">
        <v>98</v>
      </c>
      <c r="T8" s="21">
        <v>46290</v>
      </c>
    </row>
    <row r="9" ht="88" customHeight="1" spans="1:20" x14ac:dyDescent="0.25">
      <c r="A9" s="17" t="s">
        <v>99</v>
      </c>
      <c r="B9" s="17" t="s">
        <v>100</v>
      </c>
      <c r="C9" s="16" t="s">
        <v>72</v>
      </c>
      <c r="D9" s="16">
        <v>2010</v>
      </c>
      <c r="E9" s="16" t="s">
        <v>59</v>
      </c>
      <c r="F9" s="18" t="s">
        <v>101</v>
      </c>
      <c r="G9" s="18" t="s">
        <v>102</v>
      </c>
      <c r="H9" s="18" t="s">
        <v>103</v>
      </c>
      <c r="I9" s="16" t="s">
        <v>104</v>
      </c>
      <c r="J9" s="19">
        <v>85.5</v>
      </c>
      <c r="K9" s="19">
        <v>14.2</v>
      </c>
      <c r="L9" s="20">
        <v>2867</v>
      </c>
      <c r="M9" s="16" t="s">
        <v>64</v>
      </c>
      <c r="N9" s="16" t="s">
        <v>65</v>
      </c>
      <c r="O9" s="16" t="s">
        <v>66</v>
      </c>
      <c r="P9" s="16" t="s">
        <v>105</v>
      </c>
      <c r="Q9" s="16" t="s">
        <v>106</v>
      </c>
      <c r="R9" s="16" t="s">
        <v>107</v>
      </c>
      <c r="S9" s="16"/>
      <c r="T9" s="21">
        <v>46290</v>
      </c>
    </row>
    <row r="10" ht="88" customHeight="1" spans="1:20" x14ac:dyDescent="0.25">
      <c r="A10" s="17" t="s">
        <v>108</v>
      </c>
      <c r="B10" s="17" t="s">
        <v>109</v>
      </c>
      <c r="C10" s="16" t="s">
        <v>110</v>
      </c>
      <c r="D10" s="16">
        <v>2010</v>
      </c>
      <c r="E10" s="16" t="s">
        <v>59</v>
      </c>
      <c r="F10" s="18" t="s">
        <v>111</v>
      </c>
      <c r="G10" s="18" t="s">
        <v>112</v>
      </c>
      <c r="H10" s="18" t="s">
        <v>113</v>
      </c>
      <c r="I10" s="16" t="s">
        <v>104</v>
      </c>
      <c r="J10" s="19">
        <v>86</v>
      </c>
      <c r="K10" s="19">
        <v>14.2</v>
      </c>
      <c r="L10" s="20">
        <v>2658</v>
      </c>
      <c r="M10" s="16" t="s">
        <v>114</v>
      </c>
      <c r="N10" s="16" t="s">
        <v>65</v>
      </c>
      <c r="O10" s="16" t="s">
        <v>66</v>
      </c>
      <c r="P10" s="16" t="s">
        <v>115</v>
      </c>
      <c r="Q10" s="16" t="s">
        <v>116</v>
      </c>
      <c r="R10" s="16" t="s">
        <v>117</v>
      </c>
      <c r="S10" s="16"/>
      <c r="T10" s="21">
        <v>46290</v>
      </c>
    </row>
    <row r="11" ht="88" customHeight="1" spans="1:20" x14ac:dyDescent="0.25">
      <c r="A11" s="17" t="s">
        <v>118</v>
      </c>
      <c r="B11" s="17" t="s">
        <v>119</v>
      </c>
      <c r="C11" s="16" t="s">
        <v>120</v>
      </c>
      <c r="D11" s="16">
        <v>2012</v>
      </c>
      <c r="E11" s="16" t="s">
        <v>59</v>
      </c>
      <c r="F11" s="18" t="s">
        <v>121</v>
      </c>
      <c r="G11" s="18" t="s">
        <v>122</v>
      </c>
      <c r="H11" s="18" t="s">
        <v>123</v>
      </c>
      <c r="I11" s="22" t="s">
        <v>124</v>
      </c>
      <c r="J11" s="19">
        <v>88.5</v>
      </c>
      <c r="K11" s="19">
        <v>14.2</v>
      </c>
      <c r="L11" s="20">
        <v>2786</v>
      </c>
      <c r="M11" s="16" t="s">
        <v>64</v>
      </c>
      <c r="N11" s="16" t="s">
        <v>65</v>
      </c>
      <c r="O11" s="16" t="s">
        <v>125</v>
      </c>
      <c r="P11" s="16" t="s">
        <v>126</v>
      </c>
      <c r="Q11" s="16" t="s">
        <v>127</v>
      </c>
      <c r="R11" s="16" t="s">
        <v>128</v>
      </c>
      <c r="S11" s="16"/>
      <c r="T11" s="21">
        <v>46290</v>
      </c>
    </row>
    <row r="12" ht="88" customHeight="1" spans="1:20" x14ac:dyDescent="0.25">
      <c r="A12" s="17" t="s">
        <v>129</v>
      </c>
      <c r="B12" s="17" t="s">
        <v>130</v>
      </c>
      <c r="C12" s="16" t="s">
        <v>131</v>
      </c>
      <c r="D12" s="16">
        <v>2013</v>
      </c>
      <c r="E12" s="16" t="s">
        <v>59</v>
      </c>
      <c r="F12" s="18" t="s">
        <v>132</v>
      </c>
      <c r="G12" s="18" t="s">
        <v>133</v>
      </c>
      <c r="H12" s="18" t="s">
        <v>134</v>
      </c>
      <c r="I12" s="22" t="s">
        <v>124</v>
      </c>
      <c r="J12" s="19">
        <v>85.6</v>
      </c>
      <c r="K12" s="19">
        <v>14.2</v>
      </c>
      <c r="L12" s="20">
        <v>2744</v>
      </c>
      <c r="M12" s="16" t="s">
        <v>64</v>
      </c>
      <c r="N12" s="16" t="s">
        <v>65</v>
      </c>
      <c r="O12" s="16" t="s">
        <v>125</v>
      </c>
      <c r="P12" s="16" t="s">
        <v>135</v>
      </c>
      <c r="Q12" s="16" t="s">
        <v>136</v>
      </c>
      <c r="R12" s="16" t="s">
        <v>137</v>
      </c>
      <c r="S12" s="16"/>
      <c r="T12" s="21">
        <v>46290</v>
      </c>
    </row>
    <row r="13" ht="88" customHeight="1" spans="1:20" x14ac:dyDescent="0.25">
      <c r="A13" s="17" t="s">
        <v>138</v>
      </c>
      <c r="B13" s="17" t="s">
        <v>139</v>
      </c>
      <c r="C13" s="16" t="s">
        <v>140</v>
      </c>
      <c r="D13" s="16">
        <v>2014</v>
      </c>
      <c r="E13" s="16" t="s">
        <v>141</v>
      </c>
      <c r="F13" s="18" t="s">
        <v>142</v>
      </c>
      <c r="G13" s="18" t="s">
        <v>143</v>
      </c>
      <c r="H13" s="18" t="s">
        <v>144</v>
      </c>
      <c r="I13" s="16" t="s">
        <v>104</v>
      </c>
      <c r="J13" s="19">
        <v>92.9</v>
      </c>
      <c r="K13" s="19">
        <v>14.5</v>
      </c>
      <c r="L13" s="23">
        <v>2951</v>
      </c>
      <c r="M13" s="22" t="s">
        <v>64</v>
      </c>
      <c r="N13" s="22" t="s">
        <v>145</v>
      </c>
      <c r="O13" s="16" t="s">
        <v>66</v>
      </c>
      <c r="P13" s="16" t="s">
        <v>146</v>
      </c>
      <c r="Q13" s="16" t="s">
        <v>147</v>
      </c>
      <c r="R13" s="16" t="s">
        <v>148</v>
      </c>
      <c r="S13" s="16"/>
      <c r="T13" s="21">
        <v>46290</v>
      </c>
    </row>
    <row r="14" ht="88" customHeight="1" spans="1:20" x14ac:dyDescent="0.25">
      <c r="A14" s="17" t="s">
        <v>149</v>
      </c>
      <c r="B14" s="17" t="s">
        <v>150</v>
      </c>
      <c r="C14" s="16" t="s">
        <v>151</v>
      </c>
      <c r="D14" s="16">
        <v>2015</v>
      </c>
      <c r="E14" s="16" t="s">
        <v>59</v>
      </c>
      <c r="F14" s="18" t="s">
        <v>152</v>
      </c>
      <c r="G14" s="18" t="s">
        <v>153</v>
      </c>
      <c r="H14" s="18" t="s">
        <v>154</v>
      </c>
      <c r="I14" s="22" t="s">
        <v>104</v>
      </c>
      <c r="J14" s="19">
        <v>89</v>
      </c>
      <c r="K14" s="19">
        <v>14.2</v>
      </c>
      <c r="L14" s="20">
        <v>2914</v>
      </c>
      <c r="M14" s="16" t="s">
        <v>64</v>
      </c>
      <c r="N14" s="16" t="s">
        <v>65</v>
      </c>
      <c r="O14" s="16" t="s">
        <v>155</v>
      </c>
      <c r="P14" s="16" t="s">
        <v>156</v>
      </c>
      <c r="Q14" s="16" t="s">
        <v>157</v>
      </c>
      <c r="R14" s="16" t="s">
        <v>158</v>
      </c>
      <c r="S14" s="16" t="s">
        <v>159</v>
      </c>
      <c r="T14" s="21">
        <v>46290</v>
      </c>
    </row>
    <row r="15" ht="88" customHeight="1" spans="1:20" x14ac:dyDescent="0.25">
      <c r="A15" s="17" t="s">
        <v>160</v>
      </c>
      <c r="B15" s="17" t="s">
        <v>161</v>
      </c>
      <c r="C15" s="16" t="s">
        <v>72</v>
      </c>
      <c r="D15" s="16">
        <v>2016</v>
      </c>
      <c r="E15" s="16" t="s">
        <v>162</v>
      </c>
      <c r="F15" s="18" t="s">
        <v>163</v>
      </c>
      <c r="G15" s="18" t="s">
        <v>164</v>
      </c>
      <c r="H15" s="18" t="s">
        <v>165</v>
      </c>
      <c r="I15" s="22" t="s">
        <v>104</v>
      </c>
      <c r="J15" s="19">
        <v>85</v>
      </c>
      <c r="K15" s="19">
        <v>14.5</v>
      </c>
      <c r="L15" s="23">
        <v>1540</v>
      </c>
      <c r="M15" s="22" t="s">
        <v>64</v>
      </c>
      <c r="N15" s="22" t="s">
        <v>166</v>
      </c>
      <c r="O15" s="16" t="s">
        <v>167</v>
      </c>
      <c r="P15" s="16" t="s">
        <v>168</v>
      </c>
      <c r="Q15" s="16" t="s">
        <v>169</v>
      </c>
      <c r="R15" s="16" t="s">
        <v>170</v>
      </c>
      <c r="S15" s="16"/>
      <c r="T15" s="21">
        <v>46290</v>
      </c>
    </row>
    <row r="16" ht="88" customHeight="1" spans="1:20" x14ac:dyDescent="0.25">
      <c r="A16" s="17" t="s">
        <v>171</v>
      </c>
      <c r="B16" s="17" t="s">
        <v>172</v>
      </c>
      <c r="C16" s="16" t="s">
        <v>72</v>
      </c>
      <c r="D16" s="16">
        <v>2018</v>
      </c>
      <c r="E16" s="16" t="s">
        <v>173</v>
      </c>
      <c r="F16" s="18" t="s">
        <v>174</v>
      </c>
      <c r="G16" s="18" t="s">
        <v>175</v>
      </c>
      <c r="H16" s="18" t="s">
        <v>176</v>
      </c>
      <c r="I16" s="16" t="s">
        <v>104</v>
      </c>
      <c r="J16" s="19">
        <v>106.7</v>
      </c>
      <c r="K16" s="19">
        <v>15</v>
      </c>
      <c r="L16" s="20">
        <v>2864</v>
      </c>
      <c r="M16" s="16" t="s">
        <v>64</v>
      </c>
      <c r="N16" s="16" t="s">
        <v>65</v>
      </c>
      <c r="O16" s="16" t="s">
        <v>66</v>
      </c>
      <c r="P16" s="16" t="s">
        <v>177</v>
      </c>
      <c r="Q16" s="16" t="s">
        <v>178</v>
      </c>
      <c r="R16" s="16" t="s">
        <v>179</v>
      </c>
      <c r="S16" s="16"/>
      <c r="T16" s="21">
        <v>46290</v>
      </c>
    </row>
    <row r="17" ht="88" customHeight="1" spans="1:20" x14ac:dyDescent="0.25">
      <c r="A17" s="17" t="s">
        <v>180</v>
      </c>
      <c r="B17" s="17" t="s">
        <v>181</v>
      </c>
      <c r="C17" s="16" t="s">
        <v>182</v>
      </c>
      <c r="D17" s="16">
        <v>2017</v>
      </c>
      <c r="E17" s="16" t="s">
        <v>59</v>
      </c>
      <c r="F17" s="18" t="s">
        <v>183</v>
      </c>
      <c r="G17" s="18" t="s">
        <v>184</v>
      </c>
      <c r="H17" s="18" t="s">
        <v>185</v>
      </c>
      <c r="I17" s="16" t="s">
        <v>186</v>
      </c>
      <c r="J17" s="19">
        <v>110</v>
      </c>
      <c r="K17" s="19">
        <v>16.4</v>
      </c>
      <c r="L17" s="20">
        <v>4523</v>
      </c>
      <c r="M17" s="16" t="s">
        <v>64</v>
      </c>
      <c r="N17" s="16" t="s">
        <v>65</v>
      </c>
      <c r="O17" s="16" t="s">
        <v>66</v>
      </c>
      <c r="P17" s="16" t="s">
        <v>187</v>
      </c>
      <c r="Q17" s="16" t="s">
        <v>188</v>
      </c>
      <c r="R17" s="16" t="s">
        <v>189</v>
      </c>
      <c r="S17" s="16"/>
      <c r="T17" s="21">
        <v>46290</v>
      </c>
    </row>
    <row r="18" ht="88" customHeight="1" spans="1:20" x14ac:dyDescent="0.25">
      <c r="A18" s="17" t="s">
        <v>190</v>
      </c>
      <c r="B18" s="17" t="s">
        <v>191</v>
      </c>
      <c r="C18" s="16" t="s">
        <v>72</v>
      </c>
      <c r="D18" s="16">
        <v>2017</v>
      </c>
      <c r="E18" s="16" t="s">
        <v>59</v>
      </c>
      <c r="F18" s="18" t="s">
        <v>192</v>
      </c>
      <c r="G18" s="18" t="s">
        <v>193</v>
      </c>
      <c r="H18" s="18" t="s">
        <v>194</v>
      </c>
      <c r="I18" s="16" t="s">
        <v>104</v>
      </c>
      <c r="J18" s="19">
        <v>88.5</v>
      </c>
      <c r="K18" s="19">
        <v>14.5</v>
      </c>
      <c r="L18" s="20">
        <v>2984</v>
      </c>
      <c r="M18" s="16" t="s">
        <v>64</v>
      </c>
      <c r="N18" s="16" t="s">
        <v>65</v>
      </c>
      <c r="O18" s="16" t="s">
        <v>66</v>
      </c>
      <c r="P18" s="16" t="s">
        <v>195</v>
      </c>
      <c r="Q18" s="16" t="s">
        <v>196</v>
      </c>
      <c r="R18" s="16" t="s">
        <v>197</v>
      </c>
      <c r="S18" s="16"/>
      <c r="T18" s="21">
        <v>46290</v>
      </c>
    </row>
    <row r="19" ht="88" customHeight="1" spans="1:20" x14ac:dyDescent="0.25">
      <c r="A19" s="17" t="s">
        <v>198</v>
      </c>
      <c r="B19" s="17" t="s">
        <v>199</v>
      </c>
      <c r="C19" s="16" t="s">
        <v>200</v>
      </c>
      <c r="D19" s="16">
        <v>2019</v>
      </c>
      <c r="E19" s="16" t="s">
        <v>59</v>
      </c>
      <c r="F19" s="18" t="s">
        <v>201</v>
      </c>
      <c r="G19" s="18" t="s">
        <v>202</v>
      </c>
      <c r="H19" s="18" t="s">
        <v>203</v>
      </c>
      <c r="I19" s="16" t="s">
        <v>104</v>
      </c>
      <c r="J19" s="19">
        <v>90</v>
      </c>
      <c r="K19" s="19">
        <v>14.2</v>
      </c>
      <c r="L19" s="20">
        <v>2946</v>
      </c>
      <c r="M19" s="16" t="s">
        <v>64</v>
      </c>
      <c r="N19" s="16" t="s">
        <v>65</v>
      </c>
      <c r="O19" s="16" t="s">
        <v>66</v>
      </c>
      <c r="P19" s="16" t="s">
        <v>204</v>
      </c>
      <c r="Q19" s="16" t="s">
        <v>205</v>
      </c>
      <c r="R19" s="16" t="s">
        <v>206</v>
      </c>
      <c r="S19" s="16"/>
      <c r="T19" s="21">
        <v>46290</v>
      </c>
    </row>
    <row r="20" ht="88" customHeight="1" spans="1:20" x14ac:dyDescent="0.25">
      <c r="A20" s="17" t="s">
        <v>207</v>
      </c>
      <c r="B20" s="17" t="s">
        <v>208</v>
      </c>
      <c r="C20" s="16" t="s">
        <v>209</v>
      </c>
      <c r="D20" s="16">
        <v>2018</v>
      </c>
      <c r="E20" s="16" t="s">
        <v>59</v>
      </c>
      <c r="F20" s="18" t="s">
        <v>210</v>
      </c>
      <c r="G20" s="18" t="s">
        <v>211</v>
      </c>
      <c r="H20" s="18" t="s">
        <v>212</v>
      </c>
      <c r="I20" s="16" t="s">
        <v>104</v>
      </c>
      <c r="J20" s="19">
        <v>90</v>
      </c>
      <c r="K20" s="19">
        <v>14.2</v>
      </c>
      <c r="L20" s="20">
        <v>2926</v>
      </c>
      <c r="M20" s="16" t="s">
        <v>64</v>
      </c>
      <c r="N20" s="16" t="s">
        <v>65</v>
      </c>
      <c r="O20" s="16" t="s">
        <v>66</v>
      </c>
      <c r="P20" s="16" t="s">
        <v>213</v>
      </c>
      <c r="Q20" s="16" t="s">
        <v>214</v>
      </c>
      <c r="R20" s="16" t="s">
        <v>215</v>
      </c>
      <c r="S20" s="16"/>
      <c r="T20" s="21">
        <v>46290</v>
      </c>
    </row>
    <row r="21" ht="88" customHeight="1" spans="1:20" x14ac:dyDescent="0.25">
      <c r="A21" s="17" t="s">
        <v>216</v>
      </c>
      <c r="B21" s="17" t="s">
        <v>217</v>
      </c>
      <c r="C21" s="16" t="s">
        <v>72</v>
      </c>
      <c r="D21" s="16">
        <v>2018</v>
      </c>
      <c r="E21" s="16" t="s">
        <v>218</v>
      </c>
      <c r="F21" s="18" t="s">
        <v>219</v>
      </c>
      <c r="G21" s="18" t="s">
        <v>220</v>
      </c>
      <c r="H21" s="18" t="s">
        <v>221</v>
      </c>
      <c r="I21" s="16" t="s">
        <v>104</v>
      </c>
      <c r="J21" s="19">
        <v>109</v>
      </c>
      <c r="K21" s="19">
        <v>16.3</v>
      </c>
      <c r="L21" s="20">
        <v>3418</v>
      </c>
      <c r="M21" s="16" t="s">
        <v>64</v>
      </c>
      <c r="N21" s="16" t="s">
        <v>65</v>
      </c>
      <c r="O21" s="16" t="s">
        <v>66</v>
      </c>
      <c r="P21" s="16" t="s">
        <v>222</v>
      </c>
      <c r="Q21" s="16" t="s">
        <v>223</v>
      </c>
      <c r="R21" s="16" t="s">
        <v>224</v>
      </c>
      <c r="S21" s="16"/>
      <c r="T21" s="21">
        <v>46290</v>
      </c>
    </row>
    <row r="22" ht="88" customHeight="1" spans="1:20" x14ac:dyDescent="0.25">
      <c r="A22" s="17" t="s">
        <v>225</v>
      </c>
      <c r="B22" s="17" t="s">
        <v>226</v>
      </c>
      <c r="C22" s="16" t="s">
        <v>72</v>
      </c>
      <c r="D22" s="16">
        <v>2022</v>
      </c>
      <c r="E22" s="16" t="s">
        <v>59</v>
      </c>
      <c r="F22" s="18" t="s">
        <v>227</v>
      </c>
      <c r="G22" s="18" t="s">
        <v>228</v>
      </c>
      <c r="H22" s="18" t="s">
        <v>229</v>
      </c>
      <c r="I22" s="16" t="s">
        <v>104</v>
      </c>
      <c r="J22" s="19">
        <v>117</v>
      </c>
      <c r="K22" s="19">
        <v>16.5</v>
      </c>
      <c r="L22" s="20">
        <v>4978</v>
      </c>
      <c r="M22" s="16" t="s">
        <v>64</v>
      </c>
      <c r="N22" s="16" t="s">
        <v>65</v>
      </c>
      <c r="O22" s="16" t="s">
        <v>66</v>
      </c>
      <c r="P22" s="16" t="s">
        <v>230</v>
      </c>
      <c r="Q22" s="16" t="s">
        <v>231</v>
      </c>
      <c r="R22" s="16" t="s">
        <v>232</v>
      </c>
      <c r="S22" s="16"/>
      <c r="T22" s="21">
        <v>46290</v>
      </c>
    </row>
    <row r="23" ht="88" customHeight="1" spans="1:20" x14ac:dyDescent="0.25">
      <c r="A23" s="17" t="s">
        <v>233</v>
      </c>
      <c r="B23" s="17" t="s">
        <v>234</v>
      </c>
      <c r="C23" s="16" t="s">
        <v>72</v>
      </c>
      <c r="D23" s="16">
        <v>2023</v>
      </c>
      <c r="E23" s="16" t="s">
        <v>59</v>
      </c>
      <c r="F23" s="18" t="s">
        <v>235</v>
      </c>
      <c r="G23" s="18" t="s">
        <v>236</v>
      </c>
      <c r="H23" s="18" t="s">
        <v>237</v>
      </c>
      <c r="I23" s="16" t="s">
        <v>104</v>
      </c>
      <c r="J23" s="19">
        <v>109</v>
      </c>
      <c r="K23" s="19">
        <v>16</v>
      </c>
      <c r="L23" s="20">
        <v>4444</v>
      </c>
      <c r="M23" s="16" t="s">
        <v>64</v>
      </c>
      <c r="N23" s="16" t="s">
        <v>65</v>
      </c>
      <c r="O23" s="16" t="s">
        <v>66</v>
      </c>
      <c r="P23" s="16" t="s">
        <v>238</v>
      </c>
      <c r="Q23" s="16" t="s">
        <v>239</v>
      </c>
      <c r="R23" s="16" t="s">
        <v>240</v>
      </c>
      <c r="S23" s="16"/>
      <c r="T23" s="21">
        <v>46290</v>
      </c>
    </row>
    <row r="24" ht="88" customHeight="1" spans="1:20" x14ac:dyDescent="0.25">
      <c r="A24" s="17" t="s">
        <v>241</v>
      </c>
      <c r="B24" s="17" t="s">
        <v>242</v>
      </c>
      <c r="C24" s="16" t="s">
        <v>72</v>
      </c>
      <c r="D24" s="16">
        <v>2023</v>
      </c>
      <c r="E24" s="16" t="s">
        <v>243</v>
      </c>
      <c r="F24" s="18" t="s">
        <v>244</v>
      </c>
      <c r="G24" s="18" t="s">
        <v>245</v>
      </c>
      <c r="H24" s="18" t="s">
        <v>246</v>
      </c>
      <c r="I24" s="16" t="s">
        <v>104</v>
      </c>
      <c r="J24" s="19">
        <v>125</v>
      </c>
      <c r="K24" s="19">
        <v>17.2</v>
      </c>
      <c r="L24" s="20">
        <v>3493</v>
      </c>
      <c r="M24" s="16" t="s">
        <v>64</v>
      </c>
      <c r="N24" s="16" t="s">
        <v>65</v>
      </c>
      <c r="O24" s="16" t="s">
        <v>66</v>
      </c>
      <c r="P24" s="16" t="s">
        <v>247</v>
      </c>
      <c r="Q24" s="16" t="s">
        <v>248</v>
      </c>
      <c r="R24" s="16" t="s">
        <v>249</v>
      </c>
      <c r="S24" s="16"/>
      <c r="T24" s="21">
        <v>46290</v>
      </c>
    </row>
    <row r="25" ht="88" customHeight="1" spans="1:20" x14ac:dyDescent="0.25">
      <c r="A25" s="17" t="s">
        <v>250</v>
      </c>
      <c r="B25" s="17" t="s">
        <v>251</v>
      </c>
      <c r="C25" s="16" t="s">
        <v>72</v>
      </c>
      <c r="D25" s="16">
        <v>2025</v>
      </c>
      <c r="E25" s="16" t="s">
        <v>252</v>
      </c>
      <c r="F25" s="18" t="s">
        <v>253</v>
      </c>
      <c r="G25" s="18" t="s">
        <v>254</v>
      </c>
      <c r="H25" s="18" t="s">
        <v>255</v>
      </c>
      <c r="I25" s="16" t="s">
        <v>104</v>
      </c>
      <c r="J25" s="19">
        <v>111</v>
      </c>
      <c r="K25" s="19">
        <v>17.8</v>
      </c>
      <c r="L25" s="20">
        <v>4970</v>
      </c>
      <c r="M25" s="16" t="s">
        <v>64</v>
      </c>
      <c r="N25" s="16" t="s">
        <v>256</v>
      </c>
      <c r="O25" s="16" t="s">
        <v>66</v>
      </c>
      <c r="P25" s="16" t="s">
        <v>257</v>
      </c>
      <c r="Q25" s="16" t="s">
        <v>258</v>
      </c>
      <c r="R25" s="16" t="s">
        <v>259</v>
      </c>
      <c r="S25" s="16"/>
      <c r="T25" s="21">
        <v>46290</v>
      </c>
    </row>
    <row r="26" ht="88" customHeight="1" spans="1:20" x14ac:dyDescent="0.25">
      <c r="A26" s="17" t="s">
        <v>260</v>
      </c>
      <c r="B26" s="17" t="s">
        <v>261</v>
      </c>
      <c r="C26" s="16" t="s">
        <v>262</v>
      </c>
      <c r="D26" s="16">
        <v>2025</v>
      </c>
      <c r="E26" s="16" t="s">
        <v>59</v>
      </c>
      <c r="F26" s="18" t="s">
        <v>263</v>
      </c>
      <c r="G26" s="18" t="s">
        <v>264</v>
      </c>
      <c r="H26" s="18" t="s">
        <v>265</v>
      </c>
      <c r="I26" s="16" t="s">
        <v>104</v>
      </c>
      <c r="J26" s="19">
        <v>111</v>
      </c>
      <c r="K26" s="19">
        <v>16</v>
      </c>
      <c r="L26" s="23">
        <v>4550</v>
      </c>
      <c r="M26" s="22" t="s">
        <v>64</v>
      </c>
      <c r="N26" s="22" t="s">
        <v>266</v>
      </c>
      <c r="O26" s="16" t="s">
        <v>66</v>
      </c>
      <c r="P26" s="16" t="s">
        <v>267</v>
      </c>
      <c r="Q26" s="16" t="s">
        <v>268</v>
      </c>
      <c r="R26" s="16" t="s">
        <v>269</v>
      </c>
      <c r="S26" s="16"/>
      <c r="T26" s="21">
        <v>46290</v>
      </c>
    </row>
  </sheetData>
  <mergeCells count="2">
    <mergeCell ref="A1:T1"/>
    <mergeCell ref="A2:T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
  <sheetFormatPr defaultRowHeight="15" outlineLevelRow="0" outlineLevelCol="0" x14ac:dyDescent="0"/>
  <cols>
    <col min="1" max="1" width="10" customWidth="1"/>
    <col min="2" max="2" width="23" customWidth="1"/>
    <col min="3" max="3" width="16" customWidth="1"/>
    <col min="4" max="4" width="15" customWidth="1"/>
    <col min="5" max="5" width="18" customWidth="1"/>
    <col min="6" max="6" width="30" customWidth="1"/>
    <col min="7" max="7" width="28" customWidth="1"/>
    <col min="8" max="8" width="30" customWidth="1"/>
    <col min="9" max="9" width="33" customWidth="1"/>
    <col min="10" max="10" width="35" customWidth="1"/>
    <col min="11" max="11" width="12" customWidth="1"/>
    <col min="12" max="14" width="14" customWidth="1"/>
    <col min="15" max="15" width="15" customWidth="1"/>
    <col min="16" max="16" width="14" customWidth="1"/>
    <col min="17" max="17" width="15" customWidth="1"/>
    <col min="18" max="18" width="24" customWidth="1"/>
    <col min="19" max="19" width="17" customWidth="1"/>
    <col min="20" max="20" width="39" customWidth="1"/>
    <col min="21" max="21" width="24" customWidth="1"/>
    <col min="22" max="23" width="40" customWidth="1"/>
  </cols>
  <sheetData>
    <row r="1" ht="38" customHeight="1" spans="1:23" x14ac:dyDescent="0.25">
      <c r="A1" s="14" t="s">
        <v>270</v>
      </c>
      <c r="B1" s="14"/>
      <c r="C1" s="14"/>
      <c r="D1" s="14"/>
      <c r="E1" s="14"/>
      <c r="F1" s="14"/>
      <c r="G1" s="14"/>
      <c r="H1" s="14"/>
      <c r="I1" s="14"/>
      <c r="J1" s="14"/>
      <c r="K1" s="14"/>
      <c r="L1" s="14"/>
      <c r="M1" s="14"/>
      <c r="N1" s="14"/>
      <c r="O1" s="14"/>
      <c r="P1" s="14"/>
      <c r="Q1" s="14"/>
      <c r="R1" s="14"/>
      <c r="S1" s="14"/>
      <c r="T1" s="14"/>
      <c r="U1" s="14"/>
      <c r="V1" s="14"/>
      <c r="W1" s="14"/>
    </row>
    <row r="2" ht="36" customHeight="1" spans="1:23" x14ac:dyDescent="0.25">
      <c r="A2" s="15" t="s">
        <v>271</v>
      </c>
      <c r="B2" s="15"/>
      <c r="C2" s="15"/>
      <c r="D2" s="15"/>
      <c r="E2" s="15"/>
      <c r="F2" s="15"/>
      <c r="G2" s="15"/>
      <c r="H2" s="15"/>
      <c r="I2" s="15"/>
      <c r="J2" s="15"/>
      <c r="K2" s="15"/>
      <c r="L2" s="15"/>
      <c r="M2" s="15"/>
      <c r="N2" s="15"/>
      <c r="O2" s="15"/>
      <c r="P2" s="15"/>
      <c r="Q2" s="15"/>
      <c r="R2" s="15"/>
      <c r="S2" s="15"/>
      <c r="T2" s="15"/>
      <c r="U2" s="15"/>
      <c r="V2" s="15"/>
      <c r="W2" s="15"/>
    </row>
    <row r="3" ht="9" customHeight="1" spans="1:23" x14ac:dyDescent="0.25">
      <c r="A3" s="16"/>
      <c r="B3" s="16"/>
      <c r="C3" s="16"/>
      <c r="D3" s="16"/>
      <c r="E3" s="16"/>
      <c r="F3" s="16"/>
      <c r="G3" s="16"/>
      <c r="H3" s="16"/>
      <c r="I3" s="16"/>
      <c r="J3" s="16"/>
      <c r="K3" s="16"/>
      <c r="L3" s="16"/>
      <c r="M3" s="16"/>
      <c r="N3" s="16"/>
      <c r="O3" s="16"/>
      <c r="P3" s="16"/>
      <c r="Q3" s="16"/>
      <c r="R3" s="16"/>
      <c r="S3" s="16"/>
      <c r="T3" s="16"/>
      <c r="U3" s="16"/>
      <c r="V3" s="16"/>
      <c r="W3" s="16"/>
    </row>
    <row r="4" ht="36" customHeight="1" spans="1:23" x14ac:dyDescent="0.25">
      <c r="A4" s="4" t="s">
        <v>36</v>
      </c>
      <c r="B4" s="4" t="s">
        <v>272</v>
      </c>
      <c r="C4" s="4" t="s">
        <v>273</v>
      </c>
      <c r="D4" s="4" t="s">
        <v>274</v>
      </c>
      <c r="E4" s="4" t="s">
        <v>275</v>
      </c>
      <c r="F4" s="4" t="s">
        <v>276</v>
      </c>
      <c r="G4" s="4" t="s">
        <v>277</v>
      </c>
      <c r="H4" s="4" t="s">
        <v>278</v>
      </c>
      <c r="I4" s="4" t="s">
        <v>279</v>
      </c>
      <c r="J4" s="4" t="s">
        <v>280</v>
      </c>
      <c r="K4" s="4" t="s">
        <v>281</v>
      </c>
      <c r="L4" s="4" t="s">
        <v>282</v>
      </c>
      <c r="M4" s="4" t="s">
        <v>283</v>
      </c>
      <c r="N4" s="4" t="s">
        <v>284</v>
      </c>
      <c r="O4" s="4" t="s">
        <v>285</v>
      </c>
      <c r="P4" s="4" t="s">
        <v>286</v>
      </c>
      <c r="Q4" s="4" t="s">
        <v>287</v>
      </c>
      <c r="R4" s="4" t="s">
        <v>288</v>
      </c>
      <c r="S4" s="4" t="s">
        <v>289</v>
      </c>
      <c r="T4" s="4" t="s">
        <v>290</v>
      </c>
      <c r="U4" s="4" t="s">
        <v>291</v>
      </c>
      <c r="V4" s="4" t="s">
        <v>292</v>
      </c>
      <c r="W4" s="4" t="s">
        <v>293</v>
      </c>
    </row>
    <row r="5" ht="100" customHeight="1" spans="1:23" x14ac:dyDescent="0.25">
      <c r="A5" s="17" t="s">
        <v>56</v>
      </c>
      <c r="B5" s="17" t="s">
        <v>57</v>
      </c>
      <c r="C5" s="19"/>
      <c r="D5" s="16" t="s">
        <v>294</v>
      </c>
      <c r="E5" s="16" t="s">
        <v>295</v>
      </c>
      <c r="F5" s="16" t="s">
        <v>295</v>
      </c>
      <c r="G5" s="16" t="s">
        <v>296</v>
      </c>
      <c r="H5" s="16" t="s">
        <v>297</v>
      </c>
      <c r="I5" s="16" t="s">
        <v>295</v>
      </c>
      <c r="J5" s="16" t="s">
        <v>295</v>
      </c>
      <c r="K5" s="24">
        <v>14</v>
      </c>
      <c r="L5" s="24">
        <v>20</v>
      </c>
      <c r="M5" s="24"/>
      <c r="N5" s="24"/>
      <c r="O5" s="25">
        <v>12</v>
      </c>
      <c r="P5" s="25">
        <v>9</v>
      </c>
      <c r="Q5" s="25">
        <v>26</v>
      </c>
      <c r="R5" s="16" t="s">
        <v>295</v>
      </c>
      <c r="S5" s="16">
        <v>2025</v>
      </c>
      <c r="T5" s="16" t="s">
        <v>298</v>
      </c>
      <c r="U5" s="16" t="s">
        <v>299</v>
      </c>
      <c r="V5" s="16" t="s">
        <v>300</v>
      </c>
      <c r="W5" s="16" t="s">
        <v>301</v>
      </c>
    </row>
    <row r="6" ht="100" customHeight="1" spans="1:23" x14ac:dyDescent="0.25">
      <c r="A6" s="17" t="s">
        <v>70</v>
      </c>
      <c r="B6" s="17" t="s">
        <v>71</v>
      </c>
      <c r="C6" s="19">
        <v>3.9</v>
      </c>
      <c r="D6" s="16" t="s">
        <v>294</v>
      </c>
      <c r="E6" s="16" t="s">
        <v>295</v>
      </c>
      <c r="F6" s="16" t="s">
        <v>295</v>
      </c>
      <c r="G6" s="16" t="s">
        <v>296</v>
      </c>
      <c r="H6" s="16" t="s">
        <v>302</v>
      </c>
      <c r="I6" s="16" t="s">
        <v>303</v>
      </c>
      <c r="J6" s="16" t="s">
        <v>295</v>
      </c>
      <c r="K6" s="24">
        <v>15</v>
      </c>
      <c r="L6" s="24">
        <v>20</v>
      </c>
      <c r="M6" s="24"/>
      <c r="N6" s="24">
        <v>5500</v>
      </c>
      <c r="O6" s="25">
        <v>12</v>
      </c>
      <c r="P6" s="25">
        <v>6</v>
      </c>
      <c r="Q6" s="25">
        <v>28</v>
      </c>
      <c r="R6" s="16" t="s">
        <v>304</v>
      </c>
      <c r="S6" s="16">
        <v>2024</v>
      </c>
      <c r="T6" s="16" t="s">
        <v>305</v>
      </c>
      <c r="U6" s="16" t="s">
        <v>306</v>
      </c>
      <c r="V6" s="16" t="s">
        <v>307</v>
      </c>
      <c r="W6" s="16" t="s">
        <v>308</v>
      </c>
    </row>
    <row r="7" ht="100" customHeight="1" spans="1:23" x14ac:dyDescent="0.25">
      <c r="A7" s="17" t="s">
        <v>80</v>
      </c>
      <c r="B7" s="17" t="s">
        <v>81</v>
      </c>
      <c r="C7" s="19">
        <v>3.86</v>
      </c>
      <c r="D7" s="16" t="s">
        <v>294</v>
      </c>
      <c r="E7" s="16" t="s">
        <v>295</v>
      </c>
      <c r="F7" s="16" t="s">
        <v>295</v>
      </c>
      <c r="G7" s="16" t="s">
        <v>309</v>
      </c>
      <c r="H7" s="16" t="s">
        <v>309</v>
      </c>
      <c r="I7" s="16" t="s">
        <v>310</v>
      </c>
      <c r="J7" s="16" t="s">
        <v>295</v>
      </c>
      <c r="K7" s="24">
        <v>15</v>
      </c>
      <c r="L7" s="24">
        <v>18</v>
      </c>
      <c r="M7" s="24"/>
      <c r="N7" s="24">
        <v>4500</v>
      </c>
      <c r="O7" s="25">
        <v>12</v>
      </c>
      <c r="P7" s="25">
        <v>6</v>
      </c>
      <c r="Q7" s="25">
        <v>21</v>
      </c>
      <c r="R7" s="16" t="s">
        <v>304</v>
      </c>
      <c r="S7" s="16">
        <v>2024</v>
      </c>
      <c r="T7" s="16" t="s">
        <v>311</v>
      </c>
      <c r="U7" s="16" t="s">
        <v>312</v>
      </c>
      <c r="V7" s="16" t="s">
        <v>313</v>
      </c>
      <c r="W7" s="16" t="s">
        <v>308</v>
      </c>
    </row>
    <row r="8" ht="100" customHeight="1" spans="1:23" x14ac:dyDescent="0.25">
      <c r="A8" s="17" t="s">
        <v>89</v>
      </c>
      <c r="B8" s="17" t="s">
        <v>90</v>
      </c>
      <c r="C8" s="19"/>
      <c r="D8" s="16" t="s">
        <v>295</v>
      </c>
      <c r="E8" s="16" t="s">
        <v>295</v>
      </c>
      <c r="F8" s="16" t="s">
        <v>295</v>
      </c>
      <c r="G8" s="16" t="s">
        <v>296</v>
      </c>
      <c r="H8" s="16" t="s">
        <v>296</v>
      </c>
      <c r="I8" s="16" t="s">
        <v>295</v>
      </c>
      <c r="J8" s="16" t="s">
        <v>295</v>
      </c>
      <c r="K8" s="24"/>
      <c r="L8" s="24"/>
      <c r="M8" s="24"/>
      <c r="N8" s="24">
        <v>5500</v>
      </c>
      <c r="O8" s="25"/>
      <c r="P8" s="25"/>
      <c r="Q8" s="25"/>
      <c r="R8" s="16" t="s">
        <v>295</v>
      </c>
      <c r="S8" s="16"/>
      <c r="T8" s="16" t="s">
        <v>295</v>
      </c>
      <c r="U8" s="16" t="s">
        <v>314</v>
      </c>
      <c r="V8" s="16" t="s">
        <v>96</v>
      </c>
      <c r="W8" s="16" t="s">
        <v>308</v>
      </c>
    </row>
    <row r="9" ht="100" customHeight="1" spans="1:23" x14ac:dyDescent="0.25">
      <c r="A9" s="17" t="s">
        <v>99</v>
      </c>
      <c r="B9" s="17" t="s">
        <v>100</v>
      </c>
      <c r="C9" s="19">
        <v>3.95</v>
      </c>
      <c r="D9" s="16" t="s">
        <v>294</v>
      </c>
      <c r="E9" s="16" t="s">
        <v>315</v>
      </c>
      <c r="F9" s="16" t="s">
        <v>316</v>
      </c>
      <c r="G9" s="16" t="s">
        <v>317</v>
      </c>
      <c r="H9" s="16" t="s">
        <v>318</v>
      </c>
      <c r="I9" s="16" t="s">
        <v>295</v>
      </c>
      <c r="J9" s="16" t="s">
        <v>295</v>
      </c>
      <c r="K9" s="24">
        <v>14</v>
      </c>
      <c r="L9" s="24"/>
      <c r="M9" s="24"/>
      <c r="N9" s="24"/>
      <c r="O9" s="25">
        <v>12</v>
      </c>
      <c r="P9" s="25">
        <v>8</v>
      </c>
      <c r="Q9" s="25">
        <v>29</v>
      </c>
      <c r="R9" s="16" t="s">
        <v>295</v>
      </c>
      <c r="S9" s="16">
        <v>2025</v>
      </c>
      <c r="T9" s="16" t="s">
        <v>295</v>
      </c>
      <c r="U9" s="16" t="s">
        <v>319</v>
      </c>
      <c r="V9" s="16" t="s">
        <v>320</v>
      </c>
      <c r="W9" s="16" t="s">
        <v>308</v>
      </c>
    </row>
    <row r="10" ht="100" customHeight="1" spans="1:23" x14ac:dyDescent="0.25">
      <c r="A10" s="17" t="s">
        <v>108</v>
      </c>
      <c r="B10" s="17" t="s">
        <v>109</v>
      </c>
      <c r="C10" s="19"/>
      <c r="D10" s="16" t="s">
        <v>294</v>
      </c>
      <c r="E10" s="16" t="s">
        <v>295</v>
      </c>
      <c r="F10" s="16" t="s">
        <v>316</v>
      </c>
      <c r="G10" s="16" t="s">
        <v>296</v>
      </c>
      <c r="H10" s="16" t="s">
        <v>295</v>
      </c>
      <c r="I10" s="16" t="s">
        <v>295</v>
      </c>
      <c r="J10" s="16" t="s">
        <v>295</v>
      </c>
      <c r="K10" s="24"/>
      <c r="L10" s="24"/>
      <c r="M10" s="24"/>
      <c r="N10" s="24"/>
      <c r="O10" s="25"/>
      <c r="P10" s="25"/>
      <c r="Q10" s="25"/>
      <c r="R10" s="16" t="s">
        <v>295</v>
      </c>
      <c r="S10" s="16"/>
      <c r="T10" s="16" t="s">
        <v>295</v>
      </c>
      <c r="U10" s="16" t="s">
        <v>321</v>
      </c>
      <c r="V10" s="16" t="s">
        <v>322</v>
      </c>
      <c r="W10" s="16" t="s">
        <v>308</v>
      </c>
    </row>
    <row r="11" ht="100" customHeight="1" spans="1:23" x14ac:dyDescent="0.25">
      <c r="A11" s="17" t="s">
        <v>118</v>
      </c>
      <c r="B11" s="17" t="s">
        <v>119</v>
      </c>
      <c r="C11" s="19"/>
      <c r="D11" s="16" t="s">
        <v>295</v>
      </c>
      <c r="E11" s="16" t="s">
        <v>295</v>
      </c>
      <c r="F11" s="16" t="s">
        <v>295</v>
      </c>
      <c r="G11" s="16" t="s">
        <v>309</v>
      </c>
      <c r="H11" s="16" t="s">
        <v>309</v>
      </c>
      <c r="I11" s="16" t="s">
        <v>295</v>
      </c>
      <c r="J11" s="16" t="s">
        <v>295</v>
      </c>
      <c r="K11" s="24"/>
      <c r="L11" s="24"/>
      <c r="M11" s="24"/>
      <c r="N11" s="24"/>
      <c r="O11" s="25"/>
      <c r="P11" s="25"/>
      <c r="Q11" s="25"/>
      <c r="R11" s="16" t="s">
        <v>295</v>
      </c>
      <c r="S11" s="16"/>
      <c r="T11" s="16" t="s">
        <v>295</v>
      </c>
      <c r="U11" s="16" t="s">
        <v>323</v>
      </c>
      <c r="V11" s="16" t="s">
        <v>127</v>
      </c>
      <c r="W11" s="16" t="s">
        <v>308</v>
      </c>
    </row>
    <row r="12" ht="100" customHeight="1" spans="1:23" x14ac:dyDescent="0.25">
      <c r="A12" s="17" t="s">
        <v>129</v>
      </c>
      <c r="B12" s="17" t="s">
        <v>130</v>
      </c>
      <c r="C12" s="19"/>
      <c r="D12" s="16" t="s">
        <v>295</v>
      </c>
      <c r="E12" s="16" t="s">
        <v>295</v>
      </c>
      <c r="F12" s="16" t="s">
        <v>295</v>
      </c>
      <c r="G12" s="16" t="s">
        <v>324</v>
      </c>
      <c r="H12" s="16" t="s">
        <v>302</v>
      </c>
      <c r="I12" s="16" t="s">
        <v>295</v>
      </c>
      <c r="J12" s="16" t="s">
        <v>295</v>
      </c>
      <c r="K12" s="24"/>
      <c r="L12" s="24"/>
      <c r="M12" s="24"/>
      <c r="N12" s="24"/>
      <c r="O12" s="25"/>
      <c r="P12" s="25"/>
      <c r="Q12" s="25"/>
      <c r="R12" s="16" t="s">
        <v>295</v>
      </c>
      <c r="S12" s="16"/>
      <c r="T12" s="16" t="s">
        <v>295</v>
      </c>
      <c r="U12" s="16" t="s">
        <v>325</v>
      </c>
      <c r="V12" s="16" t="s">
        <v>136</v>
      </c>
      <c r="W12" s="16" t="s">
        <v>308</v>
      </c>
    </row>
    <row r="13" ht="100" customHeight="1" spans="1:23" x14ac:dyDescent="0.25">
      <c r="A13" s="17" t="s">
        <v>138</v>
      </c>
      <c r="B13" s="17" t="s">
        <v>139</v>
      </c>
      <c r="C13" s="19"/>
      <c r="D13" s="16" t="s">
        <v>295</v>
      </c>
      <c r="E13" s="16" t="s">
        <v>295</v>
      </c>
      <c r="F13" s="16" t="s">
        <v>295</v>
      </c>
      <c r="G13" s="16" t="s">
        <v>295</v>
      </c>
      <c r="H13" s="16" t="s">
        <v>295</v>
      </c>
      <c r="I13" s="16" t="s">
        <v>295</v>
      </c>
      <c r="J13" s="16" t="s">
        <v>295</v>
      </c>
      <c r="K13" s="24"/>
      <c r="L13" s="24"/>
      <c r="M13" s="24"/>
      <c r="N13" s="24"/>
      <c r="O13" s="25"/>
      <c r="P13" s="25"/>
      <c r="Q13" s="25"/>
      <c r="R13" s="16" t="s">
        <v>295</v>
      </c>
      <c r="S13" s="16">
        <v>2026</v>
      </c>
      <c r="T13" s="16" t="s">
        <v>326</v>
      </c>
      <c r="U13" s="16" t="s">
        <v>327</v>
      </c>
      <c r="V13" s="16" t="s">
        <v>328</v>
      </c>
      <c r="W13" s="16" t="s">
        <v>329</v>
      </c>
    </row>
    <row r="14" ht="100" customHeight="1" spans="1:23" x14ac:dyDescent="0.25">
      <c r="A14" s="17" t="s">
        <v>149</v>
      </c>
      <c r="B14" s="17" t="s">
        <v>150</v>
      </c>
      <c r="C14" s="19"/>
      <c r="D14" s="16" t="s">
        <v>295</v>
      </c>
      <c r="E14" s="16" t="s">
        <v>295</v>
      </c>
      <c r="F14" s="16" t="s">
        <v>295</v>
      </c>
      <c r="G14" s="16" t="s">
        <v>330</v>
      </c>
      <c r="H14" s="16" t="s">
        <v>331</v>
      </c>
      <c r="I14" s="16" t="s">
        <v>295</v>
      </c>
      <c r="J14" s="16" t="s">
        <v>295</v>
      </c>
      <c r="K14" s="24"/>
      <c r="L14" s="24"/>
      <c r="M14" s="24"/>
      <c r="N14" s="24"/>
      <c r="O14" s="25"/>
      <c r="P14" s="25"/>
      <c r="Q14" s="25"/>
      <c r="R14" s="16" t="s">
        <v>295</v>
      </c>
      <c r="S14" s="16"/>
      <c r="T14" s="16" t="s">
        <v>295</v>
      </c>
      <c r="U14" s="16" t="s">
        <v>332</v>
      </c>
      <c r="V14" s="16" t="s">
        <v>157</v>
      </c>
      <c r="W14" s="16" t="s">
        <v>308</v>
      </c>
    </row>
    <row r="15" ht="100" customHeight="1" spans="1:23" x14ac:dyDescent="0.25">
      <c r="A15" s="17" t="s">
        <v>160</v>
      </c>
      <c r="B15" s="17" t="s">
        <v>161</v>
      </c>
      <c r="C15" s="19">
        <v>5.3</v>
      </c>
      <c r="D15" s="16" t="s">
        <v>295</v>
      </c>
      <c r="E15" s="16" t="s">
        <v>295</v>
      </c>
      <c r="F15" s="16" t="s">
        <v>295</v>
      </c>
      <c r="G15" s="16" t="s">
        <v>333</v>
      </c>
      <c r="H15" s="16" t="s">
        <v>334</v>
      </c>
      <c r="I15" s="16" t="s">
        <v>295</v>
      </c>
      <c r="J15" s="16" t="s">
        <v>295</v>
      </c>
      <c r="K15" s="24"/>
      <c r="L15" s="24"/>
      <c r="M15" s="24"/>
      <c r="N15" s="24"/>
      <c r="O15" s="25">
        <v>12</v>
      </c>
      <c r="P15" s="25">
        <v>7</v>
      </c>
      <c r="Q15" s="25">
        <v>17</v>
      </c>
      <c r="R15" s="16" t="s">
        <v>295</v>
      </c>
      <c r="S15" s="16"/>
      <c r="T15" s="16" t="s">
        <v>295</v>
      </c>
      <c r="U15" s="16" t="s">
        <v>335</v>
      </c>
      <c r="V15" s="16" t="s">
        <v>336</v>
      </c>
      <c r="W15" s="16" t="s">
        <v>337</v>
      </c>
    </row>
    <row r="16" ht="100" customHeight="1" spans="1:23" x14ac:dyDescent="0.25">
      <c r="A16" s="17" t="s">
        <v>171</v>
      </c>
      <c r="B16" s="17" t="s">
        <v>172</v>
      </c>
      <c r="C16" s="19"/>
      <c r="D16" s="16" t="s">
        <v>295</v>
      </c>
      <c r="E16" s="16" t="s">
        <v>295</v>
      </c>
      <c r="F16" s="16" t="s">
        <v>338</v>
      </c>
      <c r="G16" s="16" t="s">
        <v>339</v>
      </c>
      <c r="H16" s="16" t="s">
        <v>340</v>
      </c>
      <c r="I16" s="16" t="s">
        <v>295</v>
      </c>
      <c r="J16" s="16" t="s">
        <v>341</v>
      </c>
      <c r="K16" s="24"/>
      <c r="L16" s="24"/>
      <c r="M16" s="24">
        <v>30</v>
      </c>
      <c r="N16" s="24"/>
      <c r="O16" s="25"/>
      <c r="P16" s="25"/>
      <c r="Q16" s="25"/>
      <c r="R16" s="16" t="s">
        <v>295</v>
      </c>
      <c r="S16" s="16"/>
      <c r="T16" s="16" t="s">
        <v>295</v>
      </c>
      <c r="U16" s="16" t="s">
        <v>342</v>
      </c>
      <c r="V16" s="16" t="s">
        <v>343</v>
      </c>
      <c r="W16" s="16" t="s">
        <v>308</v>
      </c>
    </row>
    <row r="17" ht="100" customHeight="1" spans="1:23" x14ac:dyDescent="0.25">
      <c r="A17" s="17" t="s">
        <v>180</v>
      </c>
      <c r="B17" s="17" t="s">
        <v>181</v>
      </c>
      <c r="C17" s="19"/>
      <c r="D17" s="16" t="s">
        <v>295</v>
      </c>
      <c r="E17" s="16" t="s">
        <v>295</v>
      </c>
      <c r="F17" s="16" t="s">
        <v>344</v>
      </c>
      <c r="G17" s="16" t="s">
        <v>324</v>
      </c>
      <c r="H17" s="16" t="s">
        <v>345</v>
      </c>
      <c r="I17" s="16" t="s">
        <v>295</v>
      </c>
      <c r="J17" s="16" t="s">
        <v>295</v>
      </c>
      <c r="K17" s="24"/>
      <c r="L17" s="24"/>
      <c r="M17" s="24"/>
      <c r="N17" s="24"/>
      <c r="O17" s="25">
        <v>30</v>
      </c>
      <c r="P17" s="25"/>
      <c r="Q17" s="25"/>
      <c r="R17" s="16" t="s">
        <v>295</v>
      </c>
      <c r="S17" s="16">
        <v>2020</v>
      </c>
      <c r="T17" s="16" t="s">
        <v>295</v>
      </c>
      <c r="U17" s="16" t="s">
        <v>346</v>
      </c>
      <c r="V17" s="16" t="s">
        <v>347</v>
      </c>
      <c r="W17" s="16" t="s">
        <v>308</v>
      </c>
    </row>
    <row r="18" ht="100" customHeight="1" spans="1:23" x14ac:dyDescent="0.25">
      <c r="A18" s="17" t="s">
        <v>190</v>
      </c>
      <c r="B18" s="17" t="s">
        <v>191</v>
      </c>
      <c r="C18" s="19">
        <v>3.95</v>
      </c>
      <c r="D18" s="16" t="s">
        <v>294</v>
      </c>
      <c r="E18" s="16" t="s">
        <v>315</v>
      </c>
      <c r="F18" s="16" t="s">
        <v>295</v>
      </c>
      <c r="G18" s="16" t="s">
        <v>309</v>
      </c>
      <c r="H18" s="16" t="s">
        <v>309</v>
      </c>
      <c r="I18" s="16" t="s">
        <v>295</v>
      </c>
      <c r="J18" s="16" t="s">
        <v>295</v>
      </c>
      <c r="K18" s="24">
        <v>16</v>
      </c>
      <c r="L18" s="24">
        <v>19</v>
      </c>
      <c r="M18" s="24"/>
      <c r="N18" s="24"/>
      <c r="O18" s="25">
        <v>12</v>
      </c>
      <c r="P18" s="25"/>
      <c r="Q18" s="25">
        <v>27</v>
      </c>
      <c r="R18" s="16" t="s">
        <v>295</v>
      </c>
      <c r="S18" s="16"/>
      <c r="T18" s="16" t="s">
        <v>295</v>
      </c>
      <c r="U18" s="16" t="s">
        <v>348</v>
      </c>
      <c r="V18" s="16" t="s">
        <v>349</v>
      </c>
      <c r="W18" s="16" t="s">
        <v>350</v>
      </c>
    </row>
    <row r="19" ht="100" customHeight="1" spans="1:23" x14ac:dyDescent="0.25">
      <c r="A19" s="17" t="s">
        <v>198</v>
      </c>
      <c r="B19" s="17" t="s">
        <v>199</v>
      </c>
      <c r="C19" s="19"/>
      <c r="D19" s="16" t="s">
        <v>295</v>
      </c>
      <c r="E19" s="16" t="s">
        <v>295</v>
      </c>
      <c r="F19" s="16" t="s">
        <v>295</v>
      </c>
      <c r="G19" s="16" t="s">
        <v>330</v>
      </c>
      <c r="H19" s="16" t="s">
        <v>318</v>
      </c>
      <c r="I19" s="16" t="s">
        <v>295</v>
      </c>
      <c r="J19" s="16" t="s">
        <v>295</v>
      </c>
      <c r="K19" s="24"/>
      <c r="L19" s="24"/>
      <c r="M19" s="24"/>
      <c r="N19" s="24"/>
      <c r="O19" s="25">
        <v>23</v>
      </c>
      <c r="P19" s="25"/>
      <c r="Q19" s="25"/>
      <c r="R19" s="16" t="s">
        <v>295</v>
      </c>
      <c r="S19" s="16"/>
      <c r="T19" s="16" t="s">
        <v>295</v>
      </c>
      <c r="U19" s="16" t="s">
        <v>351</v>
      </c>
      <c r="V19" s="16" t="s">
        <v>205</v>
      </c>
      <c r="W19" s="16" t="s">
        <v>308</v>
      </c>
    </row>
    <row r="20" ht="100" customHeight="1" spans="1:23" x14ac:dyDescent="0.25">
      <c r="A20" s="17" t="s">
        <v>207</v>
      </c>
      <c r="B20" s="17" t="s">
        <v>208</v>
      </c>
      <c r="C20" s="19">
        <v>3.95</v>
      </c>
      <c r="D20" s="16" t="s">
        <v>295</v>
      </c>
      <c r="E20" s="16" t="s">
        <v>295</v>
      </c>
      <c r="F20" s="16" t="s">
        <v>295</v>
      </c>
      <c r="G20" s="16" t="s">
        <v>352</v>
      </c>
      <c r="H20" s="16" t="s">
        <v>296</v>
      </c>
      <c r="I20" s="16" t="s">
        <v>295</v>
      </c>
      <c r="J20" s="16" t="s">
        <v>295</v>
      </c>
      <c r="K20" s="24"/>
      <c r="L20" s="24">
        <v>20</v>
      </c>
      <c r="M20" s="24"/>
      <c r="N20" s="24"/>
      <c r="O20" s="25">
        <v>12</v>
      </c>
      <c r="P20" s="25">
        <v>7</v>
      </c>
      <c r="Q20" s="25">
        <v>30</v>
      </c>
      <c r="R20" s="16" t="s">
        <v>295</v>
      </c>
      <c r="S20" s="16">
        <v>2024</v>
      </c>
      <c r="T20" s="16" t="s">
        <v>295</v>
      </c>
      <c r="U20" s="16" t="s">
        <v>353</v>
      </c>
      <c r="V20" s="16" t="s">
        <v>354</v>
      </c>
      <c r="W20" s="16" t="s">
        <v>308</v>
      </c>
    </row>
    <row r="21" ht="100" customHeight="1" spans="1:23" x14ac:dyDescent="0.25">
      <c r="A21" s="17" t="s">
        <v>216</v>
      </c>
      <c r="B21" s="17" t="s">
        <v>217</v>
      </c>
      <c r="C21" s="19"/>
      <c r="D21" s="16" t="s">
        <v>295</v>
      </c>
      <c r="E21" s="16" t="s">
        <v>295</v>
      </c>
      <c r="F21" s="16" t="s">
        <v>355</v>
      </c>
      <c r="G21" s="16" t="s">
        <v>296</v>
      </c>
      <c r="H21" s="16" t="s">
        <v>356</v>
      </c>
      <c r="I21" s="16" t="s">
        <v>357</v>
      </c>
      <c r="J21" s="16" t="s">
        <v>358</v>
      </c>
      <c r="K21" s="24"/>
      <c r="L21" s="24"/>
      <c r="M21" s="24"/>
      <c r="N21" s="24"/>
      <c r="O21" s="25"/>
      <c r="P21" s="25"/>
      <c r="Q21" s="25"/>
      <c r="R21" s="16" t="s">
        <v>295</v>
      </c>
      <c r="S21" s="16"/>
      <c r="T21" s="16" t="s">
        <v>295</v>
      </c>
      <c r="U21" s="16" t="s">
        <v>359</v>
      </c>
      <c r="V21" s="16" t="s">
        <v>360</v>
      </c>
      <c r="W21" s="16" t="s">
        <v>308</v>
      </c>
    </row>
    <row r="22" ht="100" customHeight="1" spans="1:23" x14ac:dyDescent="0.25">
      <c r="A22" s="17" t="s">
        <v>225</v>
      </c>
      <c r="B22" s="17" t="s">
        <v>226</v>
      </c>
      <c r="C22" s="19"/>
      <c r="D22" s="16" t="s">
        <v>295</v>
      </c>
      <c r="E22" s="16" t="s">
        <v>295</v>
      </c>
      <c r="F22" s="16" t="s">
        <v>355</v>
      </c>
      <c r="G22" s="16" t="s">
        <v>330</v>
      </c>
      <c r="H22" s="16" t="s">
        <v>331</v>
      </c>
      <c r="I22" s="16" t="s">
        <v>295</v>
      </c>
      <c r="J22" s="16" t="s">
        <v>295</v>
      </c>
      <c r="K22" s="24"/>
      <c r="L22" s="24"/>
      <c r="M22" s="24"/>
      <c r="N22" s="24"/>
      <c r="O22" s="25">
        <v>16</v>
      </c>
      <c r="P22" s="25"/>
      <c r="Q22" s="25"/>
      <c r="R22" s="16" t="s">
        <v>295</v>
      </c>
      <c r="S22" s="16"/>
      <c r="T22" s="16" t="s">
        <v>295</v>
      </c>
      <c r="U22" s="16" t="s">
        <v>361</v>
      </c>
      <c r="V22" s="16" t="s">
        <v>362</v>
      </c>
      <c r="W22" s="16" t="s">
        <v>308</v>
      </c>
    </row>
    <row r="23" ht="100" customHeight="1" spans="1:23" x14ac:dyDescent="0.25">
      <c r="A23" s="17" t="s">
        <v>233</v>
      </c>
      <c r="B23" s="17" t="s">
        <v>234</v>
      </c>
      <c r="C23" s="19"/>
      <c r="D23" s="16" t="s">
        <v>295</v>
      </c>
      <c r="E23" s="16" t="s">
        <v>295</v>
      </c>
      <c r="F23" s="16" t="s">
        <v>355</v>
      </c>
      <c r="G23" s="16" t="s">
        <v>363</v>
      </c>
      <c r="H23" s="16" t="s">
        <v>364</v>
      </c>
      <c r="I23" s="16" t="s">
        <v>295</v>
      </c>
      <c r="J23" s="16" t="s">
        <v>295</v>
      </c>
      <c r="K23" s="24"/>
      <c r="L23" s="24">
        <v>20</v>
      </c>
      <c r="M23" s="24"/>
      <c r="N23" s="24"/>
      <c r="O23" s="25"/>
      <c r="P23" s="25"/>
      <c r="Q23" s="25"/>
      <c r="R23" s="16" t="s">
        <v>295</v>
      </c>
      <c r="S23" s="16"/>
      <c r="T23" s="16" t="s">
        <v>295</v>
      </c>
      <c r="U23" s="16" t="s">
        <v>365</v>
      </c>
      <c r="V23" s="16" t="s">
        <v>366</v>
      </c>
      <c r="W23" s="16" t="s">
        <v>308</v>
      </c>
    </row>
    <row r="24" ht="100" customHeight="1" spans="1:23" x14ac:dyDescent="0.25">
      <c r="A24" s="17" t="s">
        <v>241</v>
      </c>
      <c r="B24" s="17" t="s">
        <v>242</v>
      </c>
      <c r="C24" s="19"/>
      <c r="D24" s="16" t="s">
        <v>295</v>
      </c>
      <c r="E24" s="16" t="s">
        <v>295</v>
      </c>
      <c r="F24" s="16" t="s">
        <v>367</v>
      </c>
      <c r="G24" s="16" t="s">
        <v>368</v>
      </c>
      <c r="H24" s="16" t="s">
        <v>369</v>
      </c>
      <c r="I24" s="16" t="s">
        <v>295</v>
      </c>
      <c r="J24" s="16" t="s">
        <v>295</v>
      </c>
      <c r="K24" s="24"/>
      <c r="L24" s="24"/>
      <c r="M24" s="24"/>
      <c r="N24" s="24"/>
      <c r="O24" s="25"/>
      <c r="P24" s="25"/>
      <c r="Q24" s="25"/>
      <c r="R24" s="16" t="s">
        <v>295</v>
      </c>
      <c r="S24" s="16"/>
      <c r="T24" s="16" t="s">
        <v>295</v>
      </c>
      <c r="U24" s="16" t="s">
        <v>370</v>
      </c>
      <c r="V24" s="16" t="s">
        <v>248</v>
      </c>
      <c r="W24" s="16" t="s">
        <v>308</v>
      </c>
    </row>
    <row r="25" ht="100" customHeight="1" spans="1:23" x14ac:dyDescent="0.25">
      <c r="A25" s="17" t="s">
        <v>250</v>
      </c>
      <c r="B25" s="17" t="s">
        <v>251</v>
      </c>
      <c r="C25" s="19"/>
      <c r="D25" s="16" t="s">
        <v>295</v>
      </c>
      <c r="E25" s="16" t="s">
        <v>295</v>
      </c>
      <c r="F25" s="16" t="s">
        <v>355</v>
      </c>
      <c r="G25" s="16" t="s">
        <v>371</v>
      </c>
      <c r="H25" s="16" t="s">
        <v>372</v>
      </c>
      <c r="I25" s="16" t="s">
        <v>295</v>
      </c>
      <c r="J25" s="16" t="s">
        <v>373</v>
      </c>
      <c r="K25" s="24"/>
      <c r="L25" s="24"/>
      <c r="M25" s="24"/>
      <c r="N25" s="24"/>
      <c r="O25" s="25"/>
      <c r="P25" s="25"/>
      <c r="Q25" s="25"/>
      <c r="R25" s="16" t="s">
        <v>295</v>
      </c>
      <c r="S25" s="16"/>
      <c r="T25" s="16" t="s">
        <v>374</v>
      </c>
      <c r="U25" s="16" t="s">
        <v>375</v>
      </c>
      <c r="V25" s="16" t="s">
        <v>376</v>
      </c>
      <c r="W25" s="16" t="s">
        <v>308</v>
      </c>
    </row>
    <row r="26" ht="100" customHeight="1" spans="1:23" x14ac:dyDescent="0.25">
      <c r="A26" s="17" t="s">
        <v>260</v>
      </c>
      <c r="B26" s="17" t="s">
        <v>261</v>
      </c>
      <c r="C26" s="19"/>
      <c r="D26" s="16" t="s">
        <v>295</v>
      </c>
      <c r="E26" s="16" t="s">
        <v>295</v>
      </c>
      <c r="F26" s="16" t="s">
        <v>355</v>
      </c>
      <c r="G26" s="16" t="s">
        <v>330</v>
      </c>
      <c r="H26" s="16" t="s">
        <v>372</v>
      </c>
      <c r="I26" s="16" t="s">
        <v>295</v>
      </c>
      <c r="J26" s="16" t="s">
        <v>377</v>
      </c>
      <c r="K26" s="24"/>
      <c r="L26" s="24"/>
      <c r="M26" s="24"/>
      <c r="N26" s="24"/>
      <c r="O26" s="25"/>
      <c r="P26" s="25"/>
      <c r="Q26" s="25"/>
      <c r="R26" s="16" t="s">
        <v>295</v>
      </c>
      <c r="S26" s="16"/>
      <c r="T26" s="16" t="s">
        <v>295</v>
      </c>
      <c r="U26" s="16" t="s">
        <v>378</v>
      </c>
      <c r="V26" s="16" t="s">
        <v>379</v>
      </c>
      <c r="W26" s="16" t="s">
        <v>308</v>
      </c>
    </row>
  </sheetData>
  <mergeCells count="2">
    <mergeCell ref="A1:W1"/>
    <mergeCell ref="A2:W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FormatPr defaultRowHeight="15" outlineLevelRow="0" outlineLevelCol="0" x14ac:dyDescent="0"/>
  <cols>
    <col min="1" max="1" width="10" customWidth="1"/>
    <col min="2" max="2" width="23" customWidth="1"/>
    <col min="3" max="4" width="16" customWidth="1"/>
    <col min="5" max="5" width="14" customWidth="1"/>
    <col min="6" max="7" width="16" customWidth="1"/>
    <col min="8" max="8" width="14" customWidth="1"/>
    <col min="9" max="10" width="15" customWidth="1"/>
    <col min="11" max="11" width="13" customWidth="1"/>
    <col min="12" max="12" width="15" customWidth="1"/>
    <col min="13" max="13" width="17" customWidth="1"/>
    <col min="14" max="15" width="15" customWidth="1"/>
    <col min="16" max="17" width="40" customWidth="1"/>
  </cols>
  <sheetData>
    <row r="1" ht="38" customHeight="1" spans="1:17" x14ac:dyDescent="0.25">
      <c r="A1" s="14" t="s">
        <v>380</v>
      </c>
      <c r="B1" s="14"/>
      <c r="C1" s="14"/>
      <c r="D1" s="14"/>
      <c r="E1" s="14"/>
      <c r="F1" s="14"/>
      <c r="G1" s="14"/>
      <c r="H1" s="14"/>
      <c r="I1" s="14"/>
      <c r="J1" s="14"/>
      <c r="K1" s="14"/>
      <c r="L1" s="14"/>
      <c r="M1" s="14"/>
      <c r="N1" s="14"/>
      <c r="O1" s="14"/>
      <c r="P1" s="14"/>
      <c r="Q1" s="14"/>
    </row>
    <row r="2" ht="36" customHeight="1" spans="1:17" x14ac:dyDescent="0.25">
      <c r="A2" s="15" t="s">
        <v>381</v>
      </c>
      <c r="B2" s="15"/>
      <c r="C2" s="15"/>
      <c r="D2" s="15"/>
      <c r="E2" s="15"/>
      <c r="F2" s="15"/>
      <c r="G2" s="15"/>
      <c r="H2" s="15"/>
      <c r="I2" s="15"/>
      <c r="J2" s="15"/>
      <c r="K2" s="15"/>
      <c r="L2" s="15"/>
      <c r="M2" s="15"/>
      <c r="N2" s="15"/>
      <c r="O2" s="15"/>
      <c r="P2" s="15"/>
      <c r="Q2" s="15"/>
    </row>
    <row r="3" ht="9" customHeight="1" spans="1:17" x14ac:dyDescent="0.25">
      <c r="A3" s="16"/>
      <c r="B3" s="16"/>
      <c r="C3" s="16"/>
      <c r="D3" s="16"/>
      <c r="E3" s="16"/>
      <c r="F3" s="16"/>
      <c r="G3" s="16"/>
      <c r="H3" s="16"/>
      <c r="I3" s="16"/>
      <c r="J3" s="16"/>
      <c r="K3" s="16"/>
      <c r="L3" s="16"/>
      <c r="M3" s="16"/>
      <c r="N3" s="16"/>
      <c r="O3" s="16"/>
      <c r="P3" s="16"/>
      <c r="Q3" s="16"/>
    </row>
    <row r="4" ht="36" customHeight="1" spans="1:17" x14ac:dyDescent="0.25">
      <c r="A4" s="4" t="s">
        <v>36</v>
      </c>
      <c r="B4" s="4" t="s">
        <v>272</v>
      </c>
      <c r="C4" s="4" t="s">
        <v>45</v>
      </c>
      <c r="D4" s="4" t="s">
        <v>382</v>
      </c>
      <c r="E4" s="4" t="s">
        <v>383</v>
      </c>
      <c r="F4" s="4" t="s">
        <v>46</v>
      </c>
      <c r="G4" s="4" t="s">
        <v>384</v>
      </c>
      <c r="H4" s="4" t="s">
        <v>385</v>
      </c>
      <c r="I4" s="4" t="s">
        <v>47</v>
      </c>
      <c r="J4" s="4" t="s">
        <v>386</v>
      </c>
      <c r="K4" s="4" t="s">
        <v>387</v>
      </c>
      <c r="L4" s="4" t="s">
        <v>388</v>
      </c>
      <c r="M4" s="4" t="s">
        <v>389</v>
      </c>
      <c r="N4" s="4" t="s">
        <v>390</v>
      </c>
      <c r="O4" s="4" t="s">
        <v>391</v>
      </c>
      <c r="P4" s="4" t="s">
        <v>392</v>
      </c>
      <c r="Q4" s="4" t="s">
        <v>292</v>
      </c>
    </row>
    <row r="5" ht="78" customHeight="1" spans="1:17" x14ac:dyDescent="0.25">
      <c r="A5" s="17" t="s">
        <v>56</v>
      </c>
      <c r="B5" s="17" t="s">
        <v>57</v>
      </c>
      <c r="C5" s="26">
        <v>80</v>
      </c>
      <c r="D5" s="26">
        <v>80</v>
      </c>
      <c r="E5" s="26">
        <f>ROUND(C5-D5,2)</f>
        <v>0</v>
      </c>
      <c r="F5" s="26">
        <v>14.2</v>
      </c>
      <c r="G5" s="26">
        <v>12</v>
      </c>
      <c r="H5" s="26">
        <f>ROUND(F5-G5,2)</f>
        <v>2.2</v>
      </c>
      <c r="I5" s="27">
        <v>2310</v>
      </c>
      <c r="J5" s="27">
        <v>2310</v>
      </c>
      <c r="K5" s="27">
        <f>I5-J5</f>
        <v>0</v>
      </c>
      <c r="L5" s="16">
        <v>2007</v>
      </c>
      <c r="M5" s="16"/>
      <c r="N5" s="16">
        <f>IF(M5="","",L5-M5)</f>
      </c>
      <c r="O5" s="16" t="str">
        <f>IF(OR(E5&lt;&gt;0,H5&lt;&gt;0,K5&lt;&gt;0,AND(M5&lt;&gt;"",L5&lt;&gt;M5)),"REVIEW","ALIGNED")</f>
        <v>REVIEW</v>
      </c>
      <c r="P5" s="16" t="s">
        <v>67</v>
      </c>
      <c r="Q5" s="16" t="s">
        <v>393</v>
      </c>
    </row>
    <row r="6" ht="78" customHeight="1" spans="1:17" x14ac:dyDescent="0.25">
      <c r="A6" s="17" t="s">
        <v>70</v>
      </c>
      <c r="B6" s="17" t="s">
        <v>71</v>
      </c>
      <c r="C6" s="26">
        <v>82</v>
      </c>
      <c r="D6" s="26">
        <v>81.27</v>
      </c>
      <c r="E6" s="26">
        <f>ROUND(C6-D6,2)</f>
        <v>0.73</v>
      </c>
      <c r="F6" s="26">
        <v>14.2</v>
      </c>
      <c r="G6" s="26">
        <v>14.24</v>
      </c>
      <c r="H6" s="26">
        <f>ROUND(F6-G6,2)</f>
        <v>-0.04</v>
      </c>
      <c r="I6" s="27">
        <v>2159</v>
      </c>
      <c r="J6" s="27">
        <v>2159</v>
      </c>
      <c r="K6" s="27">
        <f>I6-J6</f>
        <v>0</v>
      </c>
      <c r="L6" s="16">
        <v>2007</v>
      </c>
      <c r="M6" s="16"/>
      <c r="N6" s="16">
        <f>IF(M6="","",L6-M6)</f>
      </c>
      <c r="O6" s="16" t="str">
        <f>IF(OR(E6&lt;&gt;0,H6&lt;&gt;0,K6&lt;&gt;0,AND(M6&lt;&gt;"",L6&lt;&gt;M6)),"REVIEW","ALIGNED")</f>
        <v>REVIEW</v>
      </c>
      <c r="P6" s="16" t="s">
        <v>77</v>
      </c>
      <c r="Q6" s="16" t="s">
        <v>394</v>
      </c>
    </row>
    <row r="7" ht="78" customHeight="1" spans="1:17" x14ac:dyDescent="0.25">
      <c r="A7" s="17" t="s">
        <v>80</v>
      </c>
      <c r="B7" s="17" t="s">
        <v>81</v>
      </c>
      <c r="C7" s="26">
        <v>75.5</v>
      </c>
      <c r="D7" s="26">
        <v>75.5</v>
      </c>
      <c r="E7" s="26">
        <f>ROUND(C7-D7,2)</f>
        <v>0</v>
      </c>
      <c r="F7" s="26">
        <v>13.5</v>
      </c>
      <c r="G7" s="26">
        <v>13.38</v>
      </c>
      <c r="H7" s="26">
        <f>ROUND(F7-G7,2)</f>
        <v>0.12</v>
      </c>
      <c r="I7" s="27">
        <v>1991</v>
      </c>
      <c r="J7" s="27">
        <v>1991</v>
      </c>
      <c r="K7" s="27">
        <f>I7-J7</f>
        <v>0</v>
      </c>
      <c r="L7" s="16">
        <v>2008</v>
      </c>
      <c r="M7" s="16"/>
      <c r="N7" s="16">
        <f>IF(M7="","",L7-M7)</f>
      </c>
      <c r="O7" s="16" t="str">
        <f>IF(OR(E7&lt;&gt;0,H7&lt;&gt;0,K7&lt;&gt;0,AND(M7&lt;&gt;"",L7&lt;&gt;M7)),"REVIEW","ALIGNED")</f>
        <v>REVIEW</v>
      </c>
      <c r="P7" s="16" t="s">
        <v>86</v>
      </c>
      <c r="Q7" s="16" t="s">
        <v>395</v>
      </c>
    </row>
    <row r="8" ht="78" customHeight="1" spans="1:17" x14ac:dyDescent="0.25">
      <c r="A8" s="17" t="s">
        <v>89</v>
      </c>
      <c r="B8" s="17" t="s">
        <v>90</v>
      </c>
      <c r="C8" s="26">
        <v>85.5</v>
      </c>
      <c r="D8" s="26">
        <v>85.43</v>
      </c>
      <c r="E8" s="26">
        <f>ROUND(C8-D8,2)</f>
        <v>0.07</v>
      </c>
      <c r="F8" s="26">
        <v>14.2</v>
      </c>
      <c r="G8" s="26">
        <v>13.8</v>
      </c>
      <c r="H8" s="26">
        <f>ROUND(F8-G8,2)</f>
        <v>0.4</v>
      </c>
      <c r="I8" s="27">
        <v>2822</v>
      </c>
      <c r="J8" s="27">
        <v>2822</v>
      </c>
      <c r="K8" s="27">
        <f>I8-J8</f>
        <v>0</v>
      </c>
      <c r="L8" s="16">
        <v>2009</v>
      </c>
      <c r="M8" s="16"/>
      <c r="N8" s="16">
        <f>IF(M8="","",L8-M8)</f>
      </c>
      <c r="O8" s="16" t="str">
        <f>IF(OR(E8&lt;&gt;0,H8&lt;&gt;0,K8&lt;&gt;0,AND(M8&lt;&gt;"",L8&lt;&gt;M8)),"REVIEW","ALIGNED")</f>
        <v>REVIEW</v>
      </c>
      <c r="P8" s="16" t="s">
        <v>95</v>
      </c>
      <c r="Q8" s="16" t="s">
        <v>396</v>
      </c>
    </row>
    <row r="9" ht="78" customHeight="1" spans="1:17" x14ac:dyDescent="0.25">
      <c r="A9" s="17" t="s">
        <v>99</v>
      </c>
      <c r="B9" s="17" t="s">
        <v>100</v>
      </c>
      <c r="C9" s="26">
        <v>85.5</v>
      </c>
      <c r="D9" s="26">
        <v>85.43</v>
      </c>
      <c r="E9" s="26">
        <f>ROUND(C9-D9,2)</f>
        <v>0.07</v>
      </c>
      <c r="F9" s="26">
        <v>14.2</v>
      </c>
      <c r="G9" s="26">
        <v>14.24</v>
      </c>
      <c r="H9" s="26">
        <f>ROUND(F9-G9,2)</f>
        <v>-0.04</v>
      </c>
      <c r="I9" s="27">
        <v>2867</v>
      </c>
      <c r="J9" s="27">
        <v>2867</v>
      </c>
      <c r="K9" s="27">
        <f>I9-J9</f>
        <v>0</v>
      </c>
      <c r="L9" s="16">
        <v>2010</v>
      </c>
      <c r="M9" s="16"/>
      <c r="N9" s="16">
        <f>IF(M9="","",L9-M9)</f>
      </c>
      <c r="O9" s="16" t="str">
        <f>IF(OR(E9&lt;&gt;0,H9&lt;&gt;0,K9&lt;&gt;0,AND(M9&lt;&gt;"",L9&lt;&gt;M9)),"REVIEW","ALIGNED")</f>
        <v>REVIEW</v>
      </c>
      <c r="P9" s="16" t="s">
        <v>105</v>
      </c>
      <c r="Q9" s="16" t="s">
        <v>397</v>
      </c>
    </row>
    <row r="10" ht="78" customHeight="1" spans="1:17" x14ac:dyDescent="0.25">
      <c r="A10" s="17" t="s">
        <v>108</v>
      </c>
      <c r="B10" s="17" t="s">
        <v>109</v>
      </c>
      <c r="C10" s="26">
        <v>86</v>
      </c>
      <c r="D10" s="26">
        <v>86.01</v>
      </c>
      <c r="E10" s="26">
        <f>ROUND(C10-D10,2)</f>
        <v>-0.01</v>
      </c>
      <c r="F10" s="26">
        <v>14.2</v>
      </c>
      <c r="G10" s="26">
        <v>14.2</v>
      </c>
      <c r="H10" s="26">
        <f>ROUND(F10-G10,2)</f>
        <v>0</v>
      </c>
      <c r="I10" s="27">
        <v>2658</v>
      </c>
      <c r="J10" s="27">
        <v>2658</v>
      </c>
      <c r="K10" s="27">
        <f>I10-J10</f>
        <v>0</v>
      </c>
      <c r="L10" s="16">
        <v>2010</v>
      </c>
      <c r="M10" s="16"/>
      <c r="N10" s="16">
        <f>IF(M10="","",L10-M10)</f>
      </c>
      <c r="O10" s="16" t="str">
        <f>IF(OR(E10&lt;&gt;0,H10&lt;&gt;0,K10&lt;&gt;0,AND(M10&lt;&gt;"",L10&lt;&gt;M10)),"REVIEW","ALIGNED")</f>
        <v>REVIEW</v>
      </c>
      <c r="P10" s="16" t="s">
        <v>115</v>
      </c>
      <c r="Q10" s="16" t="s">
        <v>398</v>
      </c>
    </row>
    <row r="11" ht="78" customHeight="1" spans="1:17" x14ac:dyDescent="0.25">
      <c r="A11" s="17" t="s">
        <v>118</v>
      </c>
      <c r="B11" s="17" t="s">
        <v>119</v>
      </c>
      <c r="C11" s="26">
        <v>88.5</v>
      </c>
      <c r="D11" s="26">
        <v>88.39</v>
      </c>
      <c r="E11" s="26">
        <f>ROUND(C11-D11,2)</f>
        <v>0.11</v>
      </c>
      <c r="F11" s="26">
        <v>14.2</v>
      </c>
      <c r="G11" s="26">
        <v>14.2</v>
      </c>
      <c r="H11" s="26">
        <f>ROUND(F11-G11,2)</f>
        <v>0</v>
      </c>
      <c r="I11" s="27">
        <v>2786</v>
      </c>
      <c r="J11" s="27">
        <v>2786</v>
      </c>
      <c r="K11" s="27">
        <f>I11-J11</f>
        <v>0</v>
      </c>
      <c r="L11" s="16">
        <v>2012</v>
      </c>
      <c r="M11" s="16"/>
      <c r="N11" s="16">
        <f>IF(M11="","",L11-M11)</f>
      </c>
      <c r="O11" s="16" t="str">
        <f>IF(OR(E11&lt;&gt;0,H11&lt;&gt;0,K11&lt;&gt;0,AND(M11&lt;&gt;"",L11&lt;&gt;M11)),"REVIEW","ALIGNED")</f>
        <v>REVIEW</v>
      </c>
      <c r="P11" s="16" t="s">
        <v>126</v>
      </c>
      <c r="Q11" s="16" t="s">
        <v>399</v>
      </c>
    </row>
    <row r="12" ht="78" customHeight="1" spans="1:17" x14ac:dyDescent="0.25">
      <c r="A12" s="17" t="s">
        <v>129</v>
      </c>
      <c r="B12" s="17" t="s">
        <v>130</v>
      </c>
      <c r="C12" s="26">
        <v>85.6</v>
      </c>
      <c r="D12" s="26">
        <v>88.39</v>
      </c>
      <c r="E12" s="26">
        <f>ROUND(C12-D12,2)</f>
        <v>-2.79</v>
      </c>
      <c r="F12" s="26">
        <v>14.2</v>
      </c>
      <c r="G12" s="26">
        <v>14.2</v>
      </c>
      <c r="H12" s="26">
        <f>ROUND(F12-G12,2)</f>
        <v>0</v>
      </c>
      <c r="I12" s="27">
        <v>2744</v>
      </c>
      <c r="J12" s="27">
        <v>2744</v>
      </c>
      <c r="K12" s="27">
        <f>I12-J12</f>
        <v>0</v>
      </c>
      <c r="L12" s="16">
        <v>2013</v>
      </c>
      <c r="M12" s="16"/>
      <c r="N12" s="16">
        <f>IF(M12="","",L12-M12)</f>
      </c>
      <c r="O12" s="16" t="str">
        <f>IF(OR(E12&lt;&gt;0,H12&lt;&gt;0,K12&lt;&gt;0,AND(M12&lt;&gt;"",L12&lt;&gt;M12)),"REVIEW","ALIGNED")</f>
        <v>REVIEW</v>
      </c>
      <c r="P12" s="16" t="s">
        <v>135</v>
      </c>
      <c r="Q12" s="16" t="s">
        <v>400</v>
      </c>
    </row>
    <row r="13" ht="78" customHeight="1" spans="1:17" x14ac:dyDescent="0.25">
      <c r="A13" s="17" t="s">
        <v>138</v>
      </c>
      <c r="B13" s="17" t="s">
        <v>139</v>
      </c>
      <c r="C13" s="26">
        <v>92.9</v>
      </c>
      <c r="D13" s="26">
        <v>91.5</v>
      </c>
      <c r="E13" s="26">
        <f>ROUND(C13-D13,2)</f>
        <v>1.4</v>
      </c>
      <c r="F13" s="26">
        <v>14.5</v>
      </c>
      <c r="G13" s="26">
        <v>14.6</v>
      </c>
      <c r="H13" s="26">
        <f>ROUND(F13-G13,2)</f>
        <v>-0.1</v>
      </c>
      <c r="I13" s="27">
        <v>2951</v>
      </c>
      <c r="J13" s="27">
        <v>2894</v>
      </c>
      <c r="K13" s="27">
        <f>I13-J13</f>
        <v>0</v>
      </c>
      <c r="L13" s="16">
        <v>2014</v>
      </c>
      <c r="M13" s="16"/>
      <c r="N13" s="16">
        <f>IF(M13="","",L13-M13)</f>
      </c>
      <c r="O13" s="16" t="str">
        <f>IF(OR(E13&lt;&gt;0,H13&lt;&gt;0,K13&lt;&gt;0,AND(M13&lt;&gt;"",L13&lt;&gt;M13)),"REVIEW","ALIGNED")</f>
        <v>REVIEW</v>
      </c>
      <c r="P13" s="16" t="s">
        <v>401</v>
      </c>
      <c r="Q13" s="16" t="s">
        <v>402</v>
      </c>
    </row>
    <row r="14" ht="78" customHeight="1" spans="1:17" x14ac:dyDescent="0.25">
      <c r="A14" s="17" t="s">
        <v>149</v>
      </c>
      <c r="B14" s="17" t="s">
        <v>150</v>
      </c>
      <c r="C14" s="26">
        <v>89</v>
      </c>
      <c r="D14" s="26">
        <v>89</v>
      </c>
      <c r="E14" s="26">
        <f>ROUND(C14-D14,2)</f>
        <v>0</v>
      </c>
      <c r="F14" s="26">
        <v>14.2</v>
      </c>
      <c r="G14" s="26">
        <v>14</v>
      </c>
      <c r="H14" s="26">
        <f>ROUND(F14-G14,2)</f>
        <v>0.2</v>
      </c>
      <c r="I14" s="27">
        <v>2914</v>
      </c>
      <c r="J14" s="27">
        <v>2914</v>
      </c>
      <c r="K14" s="27">
        <f>I14-J14</f>
        <v>0</v>
      </c>
      <c r="L14" s="16">
        <v>2015</v>
      </c>
      <c r="M14" s="16"/>
      <c r="N14" s="16">
        <f>IF(M14="","",L14-M14)</f>
      </c>
      <c r="O14" s="16" t="str">
        <f>IF(OR(E14&lt;&gt;0,H14&lt;&gt;0,K14&lt;&gt;0,AND(M14&lt;&gt;"",L14&lt;&gt;M14)),"REVIEW","ALIGNED")</f>
        <v>REVIEW</v>
      </c>
      <c r="P14" s="16" t="s">
        <v>156</v>
      </c>
      <c r="Q14" s="16" t="s">
        <v>403</v>
      </c>
    </row>
    <row r="15" ht="78" customHeight="1" spans="1:17" x14ac:dyDescent="0.25">
      <c r="A15" s="17" t="s">
        <v>160</v>
      </c>
      <c r="B15" s="17" t="s">
        <v>161</v>
      </c>
      <c r="C15" s="26">
        <v>85</v>
      </c>
      <c r="D15" s="26">
        <v>85</v>
      </c>
      <c r="E15" s="26">
        <f>ROUND(C15-D15,2)</f>
        <v>0</v>
      </c>
      <c r="F15" s="26">
        <v>14.5</v>
      </c>
      <c r="G15" s="26">
        <v>14.4</v>
      </c>
      <c r="H15" s="26">
        <f>ROUND(F15-G15,2)</f>
        <v>0.1</v>
      </c>
      <c r="I15" s="27">
        <v>1540</v>
      </c>
      <c r="J15" s="27">
        <v>1540</v>
      </c>
      <c r="K15" s="27">
        <f>I15-J15</f>
        <v>0</v>
      </c>
      <c r="L15" s="16">
        <v>2016</v>
      </c>
      <c r="M15" s="16"/>
      <c r="N15" s="16">
        <f>IF(M15="","",L15-M15)</f>
      </c>
      <c r="O15" s="16" t="str">
        <f>IF(OR(E15&lt;&gt;0,H15&lt;&gt;0,K15&lt;&gt;0,AND(M15&lt;&gt;"",L15&lt;&gt;M15)),"REVIEW","ALIGNED")</f>
        <v>REVIEW</v>
      </c>
      <c r="P15" s="16" t="s">
        <v>168</v>
      </c>
      <c r="Q15" s="16" t="s">
        <v>404</v>
      </c>
    </row>
    <row r="16" ht="78" customHeight="1" spans="1:17" x14ac:dyDescent="0.25">
      <c r="A16" s="17" t="s">
        <v>171</v>
      </c>
      <c r="B16" s="17" t="s">
        <v>172</v>
      </c>
      <c r="C16" s="26">
        <v>106.7</v>
      </c>
      <c r="D16" s="26">
        <v>105</v>
      </c>
      <c r="E16" s="26">
        <f>ROUND(C16-D16,2)</f>
        <v>1.7</v>
      </c>
      <c r="F16" s="26">
        <v>15</v>
      </c>
      <c r="G16" s="26">
        <v>14.98</v>
      </c>
      <c r="H16" s="26">
        <f>ROUND(F16-G16,2)</f>
        <v>0.02</v>
      </c>
      <c r="I16" s="27">
        <v>2864</v>
      </c>
      <c r="J16" s="27">
        <v>2864</v>
      </c>
      <c r="K16" s="27">
        <f>I16-J16</f>
        <v>0</v>
      </c>
      <c r="L16" s="16">
        <v>2018</v>
      </c>
      <c r="M16" s="16">
        <v>2018</v>
      </c>
      <c r="N16" s="16">
        <f>IF(M16="","",L16-M16)</f>
        <v>0</v>
      </c>
      <c r="O16" s="16" t="str">
        <f>IF(OR(E16&lt;&gt;0,H16&lt;&gt;0,K16&lt;&gt;0,AND(M16&lt;&gt;"",L16&lt;&gt;M16)),"REVIEW","ALIGNED")</f>
        <v>REVIEW</v>
      </c>
      <c r="P16" s="16" t="s">
        <v>177</v>
      </c>
      <c r="Q16" s="16" t="s">
        <v>405</v>
      </c>
    </row>
    <row r="17" ht="78" customHeight="1" spans="1:17" x14ac:dyDescent="0.25">
      <c r="A17" s="17" t="s">
        <v>180</v>
      </c>
      <c r="B17" s="17" t="s">
        <v>181</v>
      </c>
      <c r="C17" s="26">
        <v>110</v>
      </c>
      <c r="D17" s="26">
        <v>105</v>
      </c>
      <c r="E17" s="26">
        <f>ROUND(C17-D17,2)</f>
        <v>5</v>
      </c>
      <c r="F17" s="26">
        <v>16.4</v>
      </c>
      <c r="G17" s="26">
        <v>16</v>
      </c>
      <c r="H17" s="26">
        <f>ROUND(F17-G17,2)</f>
        <v>0.4</v>
      </c>
      <c r="I17" s="27">
        <v>4523</v>
      </c>
      <c r="J17" s="27">
        <v>4523</v>
      </c>
      <c r="K17" s="27">
        <f>I17-J17</f>
        <v>0</v>
      </c>
      <c r="L17" s="16">
        <v>2017</v>
      </c>
      <c r="M17" s="16"/>
      <c r="N17" s="16">
        <f>IF(M17="","",L17-M17)</f>
      </c>
      <c r="O17" s="16" t="str">
        <f>IF(OR(E17&lt;&gt;0,H17&lt;&gt;0,K17&lt;&gt;0,AND(M17&lt;&gt;"",L17&lt;&gt;M17)),"REVIEW","ALIGNED")</f>
        <v>REVIEW</v>
      </c>
      <c r="P17" s="16" t="s">
        <v>187</v>
      </c>
      <c r="Q17" s="16" t="s">
        <v>406</v>
      </c>
    </row>
    <row r="18" ht="78" customHeight="1" spans="1:17" x14ac:dyDescent="0.25">
      <c r="A18" s="17" t="s">
        <v>190</v>
      </c>
      <c r="B18" s="17" t="s">
        <v>191</v>
      </c>
      <c r="C18" s="26">
        <v>88.5</v>
      </c>
      <c r="D18" s="26">
        <v>88.5</v>
      </c>
      <c r="E18" s="26">
        <f>ROUND(C18-D18,2)</f>
        <v>0</v>
      </c>
      <c r="F18" s="26">
        <v>14.5</v>
      </c>
      <c r="G18" s="26">
        <v>14.45</v>
      </c>
      <c r="H18" s="26">
        <f>ROUND(F18-G18,2)</f>
        <v>0.05</v>
      </c>
      <c r="I18" s="27">
        <v>2984</v>
      </c>
      <c r="J18" s="27">
        <v>2984</v>
      </c>
      <c r="K18" s="27">
        <f>I18-J18</f>
        <v>0</v>
      </c>
      <c r="L18" s="16">
        <v>2017</v>
      </c>
      <c r="M18" s="16"/>
      <c r="N18" s="16">
        <f>IF(M18="","",L18-M18)</f>
      </c>
      <c r="O18" s="16" t="str">
        <f>IF(OR(E18&lt;&gt;0,H18&lt;&gt;0,K18&lt;&gt;0,AND(M18&lt;&gt;"",L18&lt;&gt;M18)),"REVIEW","ALIGNED")</f>
        <v>REVIEW</v>
      </c>
      <c r="P18" s="16" t="s">
        <v>195</v>
      </c>
      <c r="Q18" s="16" t="s">
        <v>407</v>
      </c>
    </row>
    <row r="19" ht="78" customHeight="1" spans="1:17" x14ac:dyDescent="0.25">
      <c r="A19" s="17" t="s">
        <v>198</v>
      </c>
      <c r="B19" s="17" t="s">
        <v>199</v>
      </c>
      <c r="C19" s="26">
        <v>90</v>
      </c>
      <c r="D19" s="26">
        <v>90</v>
      </c>
      <c r="E19" s="26">
        <f>ROUND(C19-D19,2)</f>
        <v>0</v>
      </c>
      <c r="F19" s="26">
        <v>14.2</v>
      </c>
      <c r="G19" s="26">
        <v>14.2</v>
      </c>
      <c r="H19" s="26">
        <f>ROUND(F19-G19,2)</f>
        <v>0</v>
      </c>
      <c r="I19" s="27">
        <v>2946</v>
      </c>
      <c r="J19" s="27">
        <v>2946</v>
      </c>
      <c r="K19" s="27">
        <f>I19-J19</f>
        <v>0</v>
      </c>
      <c r="L19" s="16">
        <v>2019</v>
      </c>
      <c r="M19" s="16"/>
      <c r="N19" s="16">
        <f>IF(M19="","",L19-M19)</f>
      </c>
      <c r="O19" s="16" t="str">
        <f>IF(OR(E19&lt;&gt;0,H19&lt;&gt;0,K19&lt;&gt;0,AND(M19&lt;&gt;"",L19&lt;&gt;M19)),"REVIEW","ALIGNED")</f>
        <v>ALIGNED</v>
      </c>
      <c r="P19" s="16" t="s">
        <v>204</v>
      </c>
      <c r="Q19" s="16" t="s">
        <v>408</v>
      </c>
    </row>
    <row r="20" ht="78" customHeight="1" spans="1:17" x14ac:dyDescent="0.25">
      <c r="A20" s="17" t="s">
        <v>207</v>
      </c>
      <c r="B20" s="17" t="s">
        <v>208</v>
      </c>
      <c r="C20" s="26">
        <v>90</v>
      </c>
      <c r="D20" s="26">
        <v>90.13</v>
      </c>
      <c r="E20" s="26">
        <f>ROUND(C20-D20,2)</f>
        <v>-0.13</v>
      </c>
      <c r="F20" s="26">
        <v>14.2</v>
      </c>
      <c r="G20" s="26">
        <v>13.8</v>
      </c>
      <c r="H20" s="26">
        <f>ROUND(F20-G20,2)</f>
        <v>0.4</v>
      </c>
      <c r="I20" s="27">
        <v>2926</v>
      </c>
      <c r="J20" s="27">
        <v>2926</v>
      </c>
      <c r="K20" s="27">
        <f>I20-J20</f>
        <v>0</v>
      </c>
      <c r="L20" s="16">
        <v>2018</v>
      </c>
      <c r="M20" s="16"/>
      <c r="N20" s="16">
        <f>IF(M20="","",L20-M20)</f>
      </c>
      <c r="O20" s="16" t="str">
        <f>IF(OR(E20&lt;&gt;0,H20&lt;&gt;0,K20&lt;&gt;0,AND(M20&lt;&gt;"",L20&lt;&gt;M20)),"REVIEW","ALIGNED")</f>
        <v>REVIEW</v>
      </c>
      <c r="P20" s="16" t="s">
        <v>213</v>
      </c>
      <c r="Q20" s="16" t="s">
        <v>409</v>
      </c>
    </row>
    <row r="21" ht="78" customHeight="1" spans="1:17" x14ac:dyDescent="0.25">
      <c r="A21" s="17" t="s">
        <v>216</v>
      </c>
      <c r="B21" s="17" t="s">
        <v>217</v>
      </c>
      <c r="C21" s="26">
        <v>109</v>
      </c>
      <c r="D21" s="26">
        <v>109</v>
      </c>
      <c r="E21" s="26">
        <f>ROUND(C21-D21,2)</f>
        <v>0</v>
      </c>
      <c r="F21" s="26">
        <v>16.3</v>
      </c>
      <c r="G21" s="26">
        <v>16</v>
      </c>
      <c r="H21" s="26">
        <f>ROUND(F21-G21,2)</f>
        <v>0.3</v>
      </c>
      <c r="I21" s="27">
        <v>3418</v>
      </c>
      <c r="J21" s="27">
        <v>3418</v>
      </c>
      <c r="K21" s="27">
        <f>I21-J21</f>
        <v>0</v>
      </c>
      <c r="L21" s="16">
        <v>2018</v>
      </c>
      <c r="M21" s="16"/>
      <c r="N21" s="16">
        <f>IF(M21="","",L21-M21)</f>
      </c>
      <c r="O21" s="16" t="str">
        <f>IF(OR(E21&lt;&gt;0,H21&lt;&gt;0,K21&lt;&gt;0,AND(M21&lt;&gt;"",L21&lt;&gt;M21)),"REVIEW","ALIGNED")</f>
        <v>REVIEW</v>
      </c>
      <c r="P21" s="16" t="s">
        <v>222</v>
      </c>
      <c r="Q21" s="16" t="s">
        <v>410</v>
      </c>
    </row>
    <row r="22" ht="78" customHeight="1" spans="1:17" x14ac:dyDescent="0.25">
      <c r="A22" s="17" t="s">
        <v>225</v>
      </c>
      <c r="B22" s="17" t="s">
        <v>226</v>
      </c>
      <c r="C22" s="26">
        <v>117</v>
      </c>
      <c r="D22" s="26">
        <v>117</v>
      </c>
      <c r="E22" s="26">
        <f>ROUND(C22-D22,2)</f>
        <v>0</v>
      </c>
      <c r="F22" s="26">
        <v>16.5</v>
      </c>
      <c r="G22" s="26">
        <v>17</v>
      </c>
      <c r="H22" s="26">
        <f>ROUND(F22-G22,2)</f>
        <v>-0.5</v>
      </c>
      <c r="I22" s="27">
        <v>4978</v>
      </c>
      <c r="J22" s="27">
        <v>4978</v>
      </c>
      <c r="K22" s="27">
        <f>I22-J22</f>
        <v>0</v>
      </c>
      <c r="L22" s="16">
        <v>2022</v>
      </c>
      <c r="M22" s="16">
        <v>2022</v>
      </c>
      <c r="N22" s="16">
        <f>IF(M22="","",L22-M22)</f>
        <v>0</v>
      </c>
      <c r="O22" s="16" t="str">
        <f>IF(OR(E22&lt;&gt;0,H22&lt;&gt;0,K22&lt;&gt;0,AND(M22&lt;&gt;"",L22&lt;&gt;M22)),"REVIEW","ALIGNED")</f>
        <v>REVIEW</v>
      </c>
      <c r="P22" s="16" t="s">
        <v>230</v>
      </c>
      <c r="Q22" s="16" t="s">
        <v>411</v>
      </c>
    </row>
    <row r="23" ht="78" customHeight="1" spans="1:17" x14ac:dyDescent="0.25">
      <c r="A23" s="17" t="s">
        <v>233</v>
      </c>
      <c r="B23" s="17" t="s">
        <v>234</v>
      </c>
      <c r="C23" s="26">
        <v>109</v>
      </c>
      <c r="D23" s="26">
        <v>125</v>
      </c>
      <c r="E23" s="26">
        <f>ROUND(C23-D23,2)</f>
        <v>-16</v>
      </c>
      <c r="F23" s="26">
        <v>16</v>
      </c>
      <c r="G23" s="26">
        <v>17</v>
      </c>
      <c r="H23" s="26">
        <f>ROUND(F23-G23,2)</f>
        <v>-1</v>
      </c>
      <c r="I23" s="27">
        <v>4444</v>
      </c>
      <c r="J23" s="27">
        <v>4444</v>
      </c>
      <c r="K23" s="27">
        <f>I23-J23</f>
        <v>0</v>
      </c>
      <c r="L23" s="16">
        <v>2023</v>
      </c>
      <c r="M23" s="16">
        <v>2022</v>
      </c>
      <c r="N23" s="16">
        <f>IF(M23="","",L23-M23)</f>
        <v>1</v>
      </c>
      <c r="O23" s="16" t="str">
        <f>IF(OR(E23&lt;&gt;0,H23&lt;&gt;0,K23&lt;&gt;0,AND(M23&lt;&gt;"",L23&lt;&gt;M23)),"REVIEW","ALIGNED")</f>
        <v>REVIEW</v>
      </c>
      <c r="P23" s="16" t="s">
        <v>238</v>
      </c>
      <c r="Q23" s="16" t="s">
        <v>412</v>
      </c>
    </row>
    <row r="24" ht="78" customHeight="1" spans="1:17" x14ac:dyDescent="0.25">
      <c r="A24" s="17" t="s">
        <v>241</v>
      </c>
      <c r="B24" s="17" t="s">
        <v>242</v>
      </c>
      <c r="C24" s="26">
        <v>125</v>
      </c>
      <c r="D24" s="26">
        <v>125</v>
      </c>
      <c r="E24" s="26">
        <f>ROUND(C24-D24,2)</f>
        <v>0</v>
      </c>
      <c r="F24" s="26">
        <v>17.2</v>
      </c>
      <c r="G24" s="26">
        <v>17</v>
      </c>
      <c r="H24" s="26">
        <f>ROUND(F24-G24,2)</f>
        <v>0.2</v>
      </c>
      <c r="I24" s="27">
        <v>3493</v>
      </c>
      <c r="J24" s="27">
        <v>3493</v>
      </c>
      <c r="K24" s="27">
        <f>I24-J24</f>
        <v>0</v>
      </c>
      <c r="L24" s="16">
        <v>2023</v>
      </c>
      <c r="M24" s="16"/>
      <c r="N24" s="16">
        <f>IF(M24="","",L24-M24)</f>
      </c>
      <c r="O24" s="16" t="str">
        <f>IF(OR(E24&lt;&gt;0,H24&lt;&gt;0,K24&lt;&gt;0,AND(M24&lt;&gt;"",L24&lt;&gt;M24)),"REVIEW","ALIGNED")</f>
        <v>REVIEW</v>
      </c>
      <c r="P24" s="16" t="s">
        <v>247</v>
      </c>
      <c r="Q24" s="16" t="s">
        <v>413</v>
      </c>
    </row>
    <row r="25" ht="78" customHeight="1" spans="1:17" x14ac:dyDescent="0.25">
      <c r="A25" s="17" t="s">
        <v>250</v>
      </c>
      <c r="B25" s="17" t="s">
        <v>251</v>
      </c>
      <c r="C25" s="26">
        <v>111</v>
      </c>
      <c r="D25" s="26">
        <v>110</v>
      </c>
      <c r="E25" s="26">
        <f>ROUND(C25-D25,2)</f>
        <v>1</v>
      </c>
      <c r="F25" s="26">
        <v>17.8</v>
      </c>
      <c r="G25" s="26">
        <v>15</v>
      </c>
      <c r="H25" s="26">
        <f>ROUND(F25-G25,2)</f>
        <v>2.8</v>
      </c>
      <c r="I25" s="27">
        <v>4970</v>
      </c>
      <c r="J25" s="27">
        <v>4970</v>
      </c>
      <c r="K25" s="27">
        <f>I25-J25</f>
        <v>0</v>
      </c>
      <c r="L25" s="16">
        <v>2025</v>
      </c>
      <c r="M25" s="16">
        <v>2025</v>
      </c>
      <c r="N25" s="16">
        <f>IF(M25="","",L25-M25)</f>
        <v>0</v>
      </c>
      <c r="O25" s="16" t="str">
        <f>IF(OR(E25&lt;&gt;0,H25&lt;&gt;0,K25&lt;&gt;0,AND(M25&lt;&gt;"",L25&lt;&gt;M25)),"REVIEW","ALIGNED")</f>
        <v>REVIEW</v>
      </c>
      <c r="P25" s="16" t="s">
        <v>257</v>
      </c>
      <c r="Q25" s="16" t="s">
        <v>414</v>
      </c>
    </row>
    <row r="26" ht="78" customHeight="1" spans="1:17" x14ac:dyDescent="0.25">
      <c r="A26" s="17" t="s">
        <v>260</v>
      </c>
      <c r="B26" s="17" t="s">
        <v>261</v>
      </c>
      <c r="C26" s="26">
        <v>111</v>
      </c>
      <c r="D26" s="26">
        <v>110</v>
      </c>
      <c r="E26" s="26">
        <f>ROUND(C26-D26,2)</f>
        <v>1</v>
      </c>
      <c r="F26" s="26">
        <v>16</v>
      </c>
      <c r="G26" s="26">
        <v>16</v>
      </c>
      <c r="H26" s="26">
        <f>ROUND(F26-G26,2)</f>
        <v>0</v>
      </c>
      <c r="I26" s="27">
        <v>4550</v>
      </c>
      <c r="J26" s="27">
        <v>4525</v>
      </c>
      <c r="K26" s="27">
        <f>I26-J26</f>
        <v>25</v>
      </c>
      <c r="L26" s="16">
        <v>2025</v>
      </c>
      <c r="M26" s="16">
        <v>2025</v>
      </c>
      <c r="N26" s="16">
        <f>IF(M26="","",L26-M26)</f>
        <v>0</v>
      </c>
      <c r="O26" s="16" t="str">
        <f>IF(OR(E26&lt;&gt;0,H26&lt;&gt;0,K26&lt;&gt;0,AND(M26&lt;&gt;"",L26&lt;&gt;M26)),"REVIEW","ALIGNED")</f>
        <v>REVIEW</v>
      </c>
      <c r="P26" s="16" t="s">
        <v>267</v>
      </c>
      <c r="Q26" s="16" t="s">
        <v>415</v>
      </c>
    </row>
  </sheetData>
  <mergeCells count="2">
    <mergeCell ref="A1:Q1"/>
    <mergeCell ref="A2:Q2"/>
  </mergeCells>
  <conditionalFormatting sqref="O5:O26">
    <cfRule type="expression" dxfId="0" priority="1">
      <formula>O5="REVIEW"</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FormatPr defaultRowHeight="15" outlineLevelRow="0" outlineLevelCol="0" x14ac:dyDescent="0"/>
  <cols>
    <col min="1" max="1" width="13" customWidth="1"/>
    <col min="2" max="2" width="26" customWidth="1"/>
    <col min="3" max="3" width="14" customWidth="1"/>
    <col min="4" max="4" width="15" customWidth="1"/>
    <col min="5" max="5" width="29" customWidth="1"/>
    <col min="6" max="6" width="34" customWidth="1"/>
    <col min="7" max="7" width="19" customWidth="1"/>
    <col min="8" max="9" width="40" customWidth="1"/>
  </cols>
  <sheetData>
    <row r="1" ht="38" customHeight="1" spans="1:9" x14ac:dyDescent="0.25">
      <c r="A1" s="14" t="s">
        <v>416</v>
      </c>
      <c r="B1" s="14"/>
      <c r="C1" s="14"/>
      <c r="D1" s="14"/>
      <c r="E1" s="14"/>
      <c r="F1" s="14"/>
      <c r="G1" s="14"/>
      <c r="H1" s="14"/>
      <c r="I1" s="14"/>
    </row>
    <row r="2" ht="36" customHeight="1" spans="1:9" x14ac:dyDescent="0.25">
      <c r="A2" s="15" t="s">
        <v>417</v>
      </c>
      <c r="B2" s="15"/>
      <c r="C2" s="15"/>
      <c r="D2" s="15"/>
      <c r="E2" s="15"/>
      <c r="F2" s="15"/>
      <c r="G2" s="15"/>
      <c r="H2" s="15"/>
      <c r="I2" s="15"/>
    </row>
    <row r="3" ht="9" customHeight="1" spans="1:9" x14ac:dyDescent="0.25">
      <c r="A3" s="16"/>
      <c r="B3" s="16"/>
      <c r="C3" s="16"/>
      <c r="D3" s="16"/>
      <c r="E3" s="16"/>
      <c r="F3" s="16"/>
      <c r="G3" s="16"/>
      <c r="H3" s="16"/>
      <c r="I3" s="16"/>
    </row>
    <row r="4" ht="36" customHeight="1" spans="1:9" x14ac:dyDescent="0.25">
      <c r="A4" s="4" t="s">
        <v>418</v>
      </c>
      <c r="B4" s="4" t="s">
        <v>419</v>
      </c>
      <c r="C4" s="4" t="s">
        <v>41</v>
      </c>
      <c r="D4" s="4" t="s">
        <v>39</v>
      </c>
      <c r="E4" s="4" t="s">
        <v>420</v>
      </c>
      <c r="F4" s="4" t="s">
        <v>421</v>
      </c>
      <c r="G4" s="4" t="s">
        <v>422</v>
      </c>
      <c r="H4" s="4" t="s">
        <v>423</v>
      </c>
      <c r="I4" s="4" t="s">
        <v>293</v>
      </c>
    </row>
    <row r="5" ht="74" customHeight="1" spans="1:9" x14ac:dyDescent="0.25">
      <c r="A5" s="17" t="s">
        <v>56</v>
      </c>
      <c r="B5" s="17" t="s">
        <v>57</v>
      </c>
      <c r="C5" s="18" t="s">
        <v>60</v>
      </c>
      <c r="D5" s="16">
        <v>2007</v>
      </c>
      <c r="E5" s="16" t="s">
        <v>424</v>
      </c>
      <c r="F5" s="16" t="s">
        <v>425</v>
      </c>
      <c r="G5" s="16" t="s">
        <v>56</v>
      </c>
      <c r="H5" s="16" t="s">
        <v>426</v>
      </c>
      <c r="I5" s="16" t="s">
        <v>427</v>
      </c>
    </row>
    <row r="6" ht="74" customHeight="1" spans="1:9" x14ac:dyDescent="0.25">
      <c r="A6" s="17" t="s">
        <v>70</v>
      </c>
      <c r="B6" s="17" t="s">
        <v>71</v>
      </c>
      <c r="C6" s="18" t="s">
        <v>73</v>
      </c>
      <c r="D6" s="16">
        <v>2007</v>
      </c>
      <c r="E6" s="16" t="s">
        <v>424</v>
      </c>
      <c r="F6" s="16" t="s">
        <v>428</v>
      </c>
      <c r="G6" s="16" t="s">
        <v>70</v>
      </c>
      <c r="H6" s="16" t="s">
        <v>429</v>
      </c>
      <c r="I6" s="16" t="s">
        <v>430</v>
      </c>
    </row>
    <row r="7" ht="74" customHeight="1" spans="1:9" x14ac:dyDescent="0.25">
      <c r="A7" s="17" t="s">
        <v>80</v>
      </c>
      <c r="B7" s="17" t="s">
        <v>81</v>
      </c>
      <c r="C7" s="18" t="s">
        <v>83</v>
      </c>
      <c r="D7" s="16">
        <v>2008</v>
      </c>
      <c r="E7" s="16" t="s">
        <v>424</v>
      </c>
      <c r="F7" s="16" t="s">
        <v>431</v>
      </c>
      <c r="G7" s="16" t="s">
        <v>80</v>
      </c>
      <c r="H7" s="16" t="s">
        <v>432</v>
      </c>
      <c r="I7" s="16" t="s">
        <v>433</v>
      </c>
    </row>
    <row r="8" ht="74" customHeight="1" spans="1:9" x14ac:dyDescent="0.25">
      <c r="A8" s="17" t="s">
        <v>89</v>
      </c>
      <c r="B8" s="17" t="s">
        <v>90</v>
      </c>
      <c r="C8" s="18" t="s">
        <v>91</v>
      </c>
      <c r="D8" s="16">
        <v>2009</v>
      </c>
      <c r="E8" s="16" t="s">
        <v>424</v>
      </c>
      <c r="F8" s="16" t="s">
        <v>431</v>
      </c>
      <c r="G8" s="16" t="s">
        <v>89</v>
      </c>
      <c r="H8" s="16" t="s">
        <v>434</v>
      </c>
      <c r="I8" s="16" t="s">
        <v>435</v>
      </c>
    </row>
    <row r="9" ht="74" customHeight="1" spans="1:9" x14ac:dyDescent="0.25">
      <c r="A9" s="17" t="s">
        <v>99</v>
      </c>
      <c r="B9" s="17" t="s">
        <v>100</v>
      </c>
      <c r="C9" s="18" t="s">
        <v>101</v>
      </c>
      <c r="D9" s="16">
        <v>2010</v>
      </c>
      <c r="E9" s="16" t="s">
        <v>424</v>
      </c>
      <c r="F9" s="16" t="s">
        <v>436</v>
      </c>
      <c r="G9" s="16" t="s">
        <v>99</v>
      </c>
      <c r="H9" s="16" t="s">
        <v>437</v>
      </c>
      <c r="I9" s="16" t="s">
        <v>438</v>
      </c>
    </row>
    <row r="10" ht="74" customHeight="1" spans="1:9" x14ac:dyDescent="0.25">
      <c r="A10" s="17" t="s">
        <v>108</v>
      </c>
      <c r="B10" s="17" t="s">
        <v>109</v>
      </c>
      <c r="C10" s="18" t="s">
        <v>111</v>
      </c>
      <c r="D10" s="16">
        <v>2010</v>
      </c>
      <c r="E10" s="16" t="s">
        <v>424</v>
      </c>
      <c r="F10" s="16" t="s">
        <v>439</v>
      </c>
      <c r="G10" s="16" t="s">
        <v>108</v>
      </c>
      <c r="H10" s="16" t="s">
        <v>440</v>
      </c>
      <c r="I10" s="16" t="s">
        <v>441</v>
      </c>
    </row>
    <row r="11" ht="74" customHeight="1" spans="1:9" x14ac:dyDescent="0.25">
      <c r="A11" s="17" t="s">
        <v>118</v>
      </c>
      <c r="B11" s="17" t="s">
        <v>119</v>
      </c>
      <c r="C11" s="18" t="s">
        <v>121</v>
      </c>
      <c r="D11" s="16">
        <v>2012</v>
      </c>
      <c r="E11" s="16" t="s">
        <v>424</v>
      </c>
      <c r="F11" s="16" t="s">
        <v>436</v>
      </c>
      <c r="G11" s="16" t="s">
        <v>118</v>
      </c>
      <c r="H11" s="16" t="s">
        <v>442</v>
      </c>
      <c r="I11" s="16" t="s">
        <v>438</v>
      </c>
    </row>
    <row r="12" ht="74" customHeight="1" spans="1:9" x14ac:dyDescent="0.25">
      <c r="A12" s="17" t="s">
        <v>129</v>
      </c>
      <c r="B12" s="17" t="s">
        <v>130</v>
      </c>
      <c r="C12" s="18" t="s">
        <v>132</v>
      </c>
      <c r="D12" s="16">
        <v>2013</v>
      </c>
      <c r="E12" s="16" t="s">
        <v>424</v>
      </c>
      <c r="F12" s="16" t="s">
        <v>443</v>
      </c>
      <c r="G12" s="16" t="s">
        <v>129</v>
      </c>
      <c r="H12" s="16" t="s">
        <v>444</v>
      </c>
      <c r="I12" s="16" t="s">
        <v>445</v>
      </c>
    </row>
    <row r="13" ht="74" customHeight="1" spans="1:9" x14ac:dyDescent="0.25">
      <c r="A13" s="17" t="s">
        <v>138</v>
      </c>
      <c r="B13" s="17" t="s">
        <v>139</v>
      </c>
      <c r="C13" s="18" t="s">
        <v>142</v>
      </c>
      <c r="D13" s="16">
        <v>2014</v>
      </c>
      <c r="E13" s="16" t="s">
        <v>424</v>
      </c>
      <c r="F13" s="16" t="s">
        <v>446</v>
      </c>
      <c r="G13" s="16" t="s">
        <v>447</v>
      </c>
      <c r="H13" s="16" t="s">
        <v>448</v>
      </c>
      <c r="I13" s="16" t="s">
        <v>449</v>
      </c>
    </row>
    <row r="14" ht="74" customHeight="1" spans="1:9" x14ac:dyDescent="0.25">
      <c r="A14" s="17" t="s">
        <v>149</v>
      </c>
      <c r="B14" s="17" t="s">
        <v>150</v>
      </c>
      <c r="C14" s="18" t="s">
        <v>152</v>
      </c>
      <c r="D14" s="16">
        <v>2015</v>
      </c>
      <c r="E14" s="16" t="s">
        <v>424</v>
      </c>
      <c r="F14" s="16" t="s">
        <v>450</v>
      </c>
      <c r="G14" s="16" t="s">
        <v>451</v>
      </c>
      <c r="H14" s="16" t="s">
        <v>452</v>
      </c>
      <c r="I14" s="16" t="s">
        <v>453</v>
      </c>
    </row>
    <row r="15" ht="74" customHeight="1" spans="1:9" x14ac:dyDescent="0.25">
      <c r="A15" s="17" t="s">
        <v>160</v>
      </c>
      <c r="B15" s="17" t="s">
        <v>161</v>
      </c>
      <c r="C15" s="18" t="s">
        <v>163</v>
      </c>
      <c r="D15" s="16">
        <v>2016</v>
      </c>
      <c r="E15" s="16" t="s">
        <v>424</v>
      </c>
      <c r="F15" s="16" t="s">
        <v>450</v>
      </c>
      <c r="G15" s="16" t="s">
        <v>451</v>
      </c>
      <c r="H15" s="16" t="s">
        <v>452</v>
      </c>
      <c r="I15" s="16" t="s">
        <v>453</v>
      </c>
    </row>
    <row r="16" ht="74" customHeight="1" spans="1:9" x14ac:dyDescent="0.25">
      <c r="A16" s="17" t="s">
        <v>171</v>
      </c>
      <c r="B16" s="17" t="s">
        <v>172</v>
      </c>
      <c r="C16" s="18" t="s">
        <v>174</v>
      </c>
      <c r="D16" s="16">
        <v>2018</v>
      </c>
      <c r="E16" s="16" t="s">
        <v>424</v>
      </c>
      <c r="F16" s="16" t="s">
        <v>454</v>
      </c>
      <c r="G16" s="16" t="s">
        <v>171</v>
      </c>
      <c r="H16" s="16" t="s">
        <v>455</v>
      </c>
      <c r="I16" s="16" t="s">
        <v>456</v>
      </c>
    </row>
    <row r="17" ht="74" customHeight="1" spans="1:9" x14ac:dyDescent="0.25">
      <c r="A17" s="17" t="s">
        <v>457</v>
      </c>
      <c r="B17" s="17" t="s">
        <v>458</v>
      </c>
      <c r="C17" s="18"/>
      <c r="D17" s="16"/>
      <c r="E17" s="16" t="s">
        <v>459</v>
      </c>
      <c r="F17" s="16" t="s">
        <v>460</v>
      </c>
      <c r="G17" s="16"/>
      <c r="H17" s="16"/>
      <c r="I17" s="16" t="s">
        <v>461</v>
      </c>
    </row>
    <row r="18" ht="74" customHeight="1" spans="1:9" x14ac:dyDescent="0.25">
      <c r="A18" s="17" t="s">
        <v>180</v>
      </c>
      <c r="B18" s="17" t="s">
        <v>181</v>
      </c>
      <c r="C18" s="18" t="s">
        <v>183</v>
      </c>
      <c r="D18" s="16">
        <v>2017</v>
      </c>
      <c r="E18" s="16" t="s">
        <v>424</v>
      </c>
      <c r="F18" s="16" t="s">
        <v>450</v>
      </c>
      <c r="G18" s="16" t="s">
        <v>451</v>
      </c>
      <c r="H18" s="16" t="s">
        <v>452</v>
      </c>
      <c r="I18" s="16" t="s">
        <v>453</v>
      </c>
    </row>
    <row r="19" ht="74" customHeight="1" spans="1:9" x14ac:dyDescent="0.25">
      <c r="A19" s="17" t="s">
        <v>190</v>
      </c>
      <c r="B19" s="17" t="s">
        <v>191</v>
      </c>
      <c r="C19" s="18" t="s">
        <v>192</v>
      </c>
      <c r="D19" s="16">
        <v>2017</v>
      </c>
      <c r="E19" s="16" t="s">
        <v>424</v>
      </c>
      <c r="F19" s="16" t="s">
        <v>462</v>
      </c>
      <c r="G19" s="16" t="s">
        <v>190</v>
      </c>
      <c r="H19" s="16" t="s">
        <v>463</v>
      </c>
      <c r="I19" s="16" t="s">
        <v>464</v>
      </c>
    </row>
    <row r="20" ht="74" customHeight="1" spans="1:9" x14ac:dyDescent="0.25">
      <c r="A20" s="17" t="s">
        <v>198</v>
      </c>
      <c r="B20" s="17" t="s">
        <v>199</v>
      </c>
      <c r="C20" s="18" t="s">
        <v>201</v>
      </c>
      <c r="D20" s="16">
        <v>2019</v>
      </c>
      <c r="E20" s="16" t="s">
        <v>424</v>
      </c>
      <c r="F20" s="16" t="s">
        <v>436</v>
      </c>
      <c r="G20" s="16" t="s">
        <v>198</v>
      </c>
      <c r="H20" s="16" t="s">
        <v>465</v>
      </c>
      <c r="I20" s="16" t="s">
        <v>466</v>
      </c>
    </row>
    <row r="21" ht="74" customHeight="1" spans="1:9" x14ac:dyDescent="0.25">
      <c r="A21" s="17" t="s">
        <v>207</v>
      </c>
      <c r="B21" s="17" t="s">
        <v>208</v>
      </c>
      <c r="C21" s="18" t="s">
        <v>210</v>
      </c>
      <c r="D21" s="16">
        <v>2018</v>
      </c>
      <c r="E21" s="16" t="s">
        <v>424</v>
      </c>
      <c r="F21" s="16" t="s">
        <v>450</v>
      </c>
      <c r="G21" s="16" t="s">
        <v>451</v>
      </c>
      <c r="H21" s="16" t="s">
        <v>452</v>
      </c>
      <c r="I21" s="16" t="s">
        <v>453</v>
      </c>
    </row>
    <row r="22" ht="74" customHeight="1" spans="1:9" x14ac:dyDescent="0.25">
      <c r="A22" s="17" t="s">
        <v>216</v>
      </c>
      <c r="B22" s="17" t="s">
        <v>217</v>
      </c>
      <c r="C22" s="18" t="s">
        <v>219</v>
      </c>
      <c r="D22" s="16">
        <v>2018</v>
      </c>
      <c r="E22" s="16" t="s">
        <v>424</v>
      </c>
      <c r="F22" s="16" t="s">
        <v>467</v>
      </c>
      <c r="G22" s="16" t="s">
        <v>216</v>
      </c>
      <c r="H22" s="16" t="s">
        <v>468</v>
      </c>
      <c r="I22" s="16" t="s">
        <v>438</v>
      </c>
    </row>
    <row r="23" ht="74" customHeight="1" spans="1:9" x14ac:dyDescent="0.25">
      <c r="A23" s="17" t="s">
        <v>225</v>
      </c>
      <c r="B23" s="17" t="s">
        <v>226</v>
      </c>
      <c r="C23" s="18" t="s">
        <v>227</v>
      </c>
      <c r="D23" s="16">
        <v>2022</v>
      </c>
      <c r="E23" s="16" t="s">
        <v>424</v>
      </c>
      <c r="F23" s="16" t="s">
        <v>446</v>
      </c>
      <c r="G23" s="16" t="s">
        <v>447</v>
      </c>
      <c r="H23" s="16" t="s">
        <v>448</v>
      </c>
      <c r="I23" s="16" t="s">
        <v>449</v>
      </c>
    </row>
    <row r="24" ht="74" customHeight="1" spans="1:9" x14ac:dyDescent="0.25">
      <c r="A24" s="17" t="s">
        <v>233</v>
      </c>
      <c r="B24" s="17" t="s">
        <v>234</v>
      </c>
      <c r="C24" s="18" t="s">
        <v>235</v>
      </c>
      <c r="D24" s="16">
        <v>2023</v>
      </c>
      <c r="E24" s="16" t="s">
        <v>424</v>
      </c>
      <c r="F24" s="16" t="s">
        <v>469</v>
      </c>
      <c r="G24" s="16" t="s">
        <v>233</v>
      </c>
      <c r="H24" s="16" t="s">
        <v>470</v>
      </c>
      <c r="I24" s="16" t="s">
        <v>471</v>
      </c>
    </row>
    <row r="25" ht="74" customHeight="1" spans="1:9" x14ac:dyDescent="0.25">
      <c r="A25" s="17" t="s">
        <v>241</v>
      </c>
      <c r="B25" s="17" t="s">
        <v>242</v>
      </c>
      <c r="C25" s="18" t="s">
        <v>244</v>
      </c>
      <c r="D25" s="16">
        <v>2023</v>
      </c>
      <c r="E25" s="16" t="s">
        <v>424</v>
      </c>
      <c r="F25" s="16" t="s">
        <v>450</v>
      </c>
      <c r="G25" s="16" t="s">
        <v>451</v>
      </c>
      <c r="H25" s="16" t="s">
        <v>452</v>
      </c>
      <c r="I25" s="16" t="s">
        <v>453</v>
      </c>
    </row>
    <row r="26" ht="74" customHeight="1" spans="1:9" x14ac:dyDescent="0.25">
      <c r="A26" s="17" t="s">
        <v>250</v>
      </c>
      <c r="B26" s="17" t="s">
        <v>251</v>
      </c>
      <c r="C26" s="18" t="s">
        <v>253</v>
      </c>
      <c r="D26" s="16">
        <v>2025</v>
      </c>
      <c r="E26" s="16" t="s">
        <v>424</v>
      </c>
      <c r="F26" s="16" t="s">
        <v>472</v>
      </c>
      <c r="G26" s="16" t="s">
        <v>473</v>
      </c>
      <c r="H26" s="16" t="s">
        <v>474</v>
      </c>
      <c r="I26" s="16" t="s">
        <v>438</v>
      </c>
    </row>
    <row r="27" ht="74" customHeight="1" spans="1:9" x14ac:dyDescent="0.25">
      <c r="A27" s="17" t="s">
        <v>475</v>
      </c>
      <c r="B27" s="17" t="s">
        <v>458</v>
      </c>
      <c r="C27" s="18"/>
      <c r="D27" s="16"/>
      <c r="E27" s="16" t="s">
        <v>459</v>
      </c>
      <c r="F27" s="16" t="s">
        <v>460</v>
      </c>
      <c r="G27" s="16"/>
      <c r="H27" s="16"/>
      <c r="I27" s="16" t="s">
        <v>461</v>
      </c>
    </row>
    <row r="28" ht="74" customHeight="1" spans="1:9" x14ac:dyDescent="0.25">
      <c r="A28" s="17" t="s">
        <v>476</v>
      </c>
      <c r="B28" s="17" t="s">
        <v>458</v>
      </c>
      <c r="C28" s="18"/>
      <c r="D28" s="16"/>
      <c r="E28" s="16" t="s">
        <v>459</v>
      </c>
      <c r="F28" s="16" t="s">
        <v>460</v>
      </c>
      <c r="G28" s="16"/>
      <c r="H28" s="16"/>
      <c r="I28" s="16" t="s">
        <v>461</v>
      </c>
    </row>
    <row r="29" ht="74" customHeight="1" spans="1:9" x14ac:dyDescent="0.25">
      <c r="A29" s="17" t="s">
        <v>477</v>
      </c>
      <c r="B29" s="17" t="s">
        <v>458</v>
      </c>
      <c r="C29" s="18"/>
      <c r="D29" s="16"/>
      <c r="E29" s="16" t="s">
        <v>459</v>
      </c>
      <c r="F29" s="16" t="s">
        <v>460</v>
      </c>
      <c r="G29" s="16"/>
      <c r="H29" s="16"/>
      <c r="I29" s="16" t="s">
        <v>461</v>
      </c>
    </row>
    <row r="30" ht="74" customHeight="1" spans="1:9" x14ac:dyDescent="0.25">
      <c r="A30" s="17" t="s">
        <v>260</v>
      </c>
      <c r="B30" s="17" t="s">
        <v>261</v>
      </c>
      <c r="C30" s="18" t="s">
        <v>263</v>
      </c>
      <c r="D30" s="16">
        <v>2025</v>
      </c>
      <c r="E30" s="16" t="s">
        <v>424</v>
      </c>
      <c r="F30" s="16" t="s">
        <v>472</v>
      </c>
      <c r="G30" s="16" t="s">
        <v>478</v>
      </c>
      <c r="H30" s="16" t="s">
        <v>479</v>
      </c>
      <c r="I30" s="16" t="s">
        <v>480</v>
      </c>
    </row>
  </sheetData>
  <mergeCells count="2">
    <mergeCell ref="A1:I1"/>
    <mergeCell ref="A2:I2"/>
  </mergeCells>
  <conditionalFormatting sqref="E5:E30">
    <cfRule type="expression" dxfId="1" priority="1">
      <formula>E5="Unresolved numerical slot"</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9"/>
  <sheetFormatPr defaultRowHeight="15" outlineLevelRow="0" outlineLevelCol="0" x14ac:dyDescent="0"/>
  <cols>
    <col min="1" max="1" width="11" customWidth="1"/>
    <col min="2" max="2" width="24" customWidth="1"/>
    <col min="3" max="3" width="13" customWidth="1"/>
    <col min="4" max="4" width="31" customWidth="1"/>
    <col min="5" max="5" width="38" customWidth="1"/>
    <col min="6" max="6" width="12" customWidth="1"/>
    <col min="7" max="7" width="36" customWidth="1"/>
    <col min="8" max="8" width="40" customWidth="1"/>
    <col min="9" max="9" width="16" customWidth="1"/>
    <col min="10" max="10" width="40" customWidth="1"/>
    <col min="11" max="11" width="15" customWidth="1"/>
  </cols>
  <sheetData>
    <row r="1" ht="38" customHeight="1" spans="1:11" x14ac:dyDescent="0.25">
      <c r="A1" s="14" t="s">
        <v>481</v>
      </c>
      <c r="B1" s="14"/>
      <c r="C1" s="14"/>
      <c r="D1" s="14"/>
      <c r="E1" s="14"/>
      <c r="F1" s="14"/>
      <c r="G1" s="14"/>
      <c r="H1" s="14"/>
      <c r="I1" s="14"/>
      <c r="J1" s="14"/>
      <c r="K1" s="14"/>
    </row>
    <row r="2" ht="36" customHeight="1" spans="1:11" x14ac:dyDescent="0.25">
      <c r="A2" s="15" t="s">
        <v>482</v>
      </c>
      <c r="B2" s="15"/>
      <c r="C2" s="15"/>
      <c r="D2" s="15"/>
      <c r="E2" s="15"/>
      <c r="F2" s="15"/>
      <c r="G2" s="15"/>
      <c r="H2" s="15"/>
      <c r="I2" s="15"/>
      <c r="J2" s="15"/>
      <c r="K2" s="15"/>
    </row>
    <row r="3" ht="9" customHeight="1" spans="1:11" x14ac:dyDescent="0.25">
      <c r="A3" s="16"/>
      <c r="B3" s="16"/>
      <c r="C3" s="16"/>
      <c r="D3" s="16"/>
      <c r="E3" s="16"/>
      <c r="F3" s="16"/>
      <c r="G3" s="16"/>
      <c r="H3" s="16"/>
      <c r="I3" s="16"/>
      <c r="J3" s="16"/>
      <c r="K3" s="16"/>
    </row>
    <row r="4" ht="36" customHeight="1" spans="1:11" x14ac:dyDescent="0.25">
      <c r="A4" s="4" t="s">
        <v>36</v>
      </c>
      <c r="B4" s="4" t="s">
        <v>272</v>
      </c>
      <c r="C4" s="4" t="s">
        <v>41</v>
      </c>
      <c r="D4" s="4" t="s">
        <v>483</v>
      </c>
      <c r="E4" s="4" t="s">
        <v>484</v>
      </c>
      <c r="F4" s="4" t="s">
        <v>485</v>
      </c>
      <c r="G4" s="4" t="s">
        <v>486</v>
      </c>
      <c r="H4" s="4" t="s">
        <v>293</v>
      </c>
      <c r="I4" s="4" t="s">
        <v>487</v>
      </c>
      <c r="J4" s="4" t="s">
        <v>488</v>
      </c>
      <c r="K4" s="4" t="s">
        <v>55</v>
      </c>
    </row>
    <row r="5" ht="69" customHeight="1" spans="1:11" x14ac:dyDescent="0.25">
      <c r="A5" s="17" t="s">
        <v>56</v>
      </c>
      <c r="B5" s="17" t="s">
        <v>57</v>
      </c>
      <c r="C5" s="18" t="s">
        <v>60</v>
      </c>
      <c r="D5" s="16" t="s">
        <v>489</v>
      </c>
      <c r="E5" s="16" t="s">
        <v>56</v>
      </c>
      <c r="F5" s="16"/>
      <c r="G5" s="16" t="s">
        <v>490</v>
      </c>
      <c r="H5" s="16" t="s">
        <v>491</v>
      </c>
      <c r="I5" s="16" t="s">
        <v>56</v>
      </c>
      <c r="J5" s="16" t="s">
        <v>426</v>
      </c>
      <c r="K5" s="21">
        <v>46290</v>
      </c>
    </row>
    <row r="6" ht="69" customHeight="1" spans="1:11" x14ac:dyDescent="0.25">
      <c r="A6" s="17" t="s">
        <v>56</v>
      </c>
      <c r="B6" s="17" t="s">
        <v>57</v>
      </c>
      <c r="C6" s="18" t="s">
        <v>60</v>
      </c>
      <c r="D6" s="16" t="s">
        <v>492</v>
      </c>
      <c r="E6" s="16" t="s">
        <v>57</v>
      </c>
      <c r="F6" s="16"/>
      <c r="G6" s="16" t="s">
        <v>493</v>
      </c>
      <c r="H6" s="16" t="s">
        <v>494</v>
      </c>
      <c r="I6" s="16" t="s">
        <v>495</v>
      </c>
      <c r="J6" s="16" t="s">
        <v>68</v>
      </c>
      <c r="K6" s="21">
        <v>46290</v>
      </c>
    </row>
    <row r="7" ht="69" customHeight="1" spans="1:11" x14ac:dyDescent="0.25">
      <c r="A7" s="17" t="s">
        <v>56</v>
      </c>
      <c r="B7" s="17" t="s">
        <v>57</v>
      </c>
      <c r="C7" s="18" t="s">
        <v>60</v>
      </c>
      <c r="D7" s="16" t="s">
        <v>38</v>
      </c>
      <c r="E7" s="16" t="s">
        <v>58</v>
      </c>
      <c r="F7" s="16"/>
      <c r="G7" s="16" t="s">
        <v>496</v>
      </c>
      <c r="H7" s="16" t="s">
        <v>497</v>
      </c>
      <c r="I7" s="16" t="s">
        <v>498</v>
      </c>
      <c r="J7" s="16" t="s">
        <v>69</v>
      </c>
      <c r="K7" s="21">
        <v>46290</v>
      </c>
    </row>
    <row r="8" ht="69" customHeight="1" spans="1:11" x14ac:dyDescent="0.25">
      <c r="A8" s="17" t="s">
        <v>56</v>
      </c>
      <c r="B8" s="17" t="s">
        <v>57</v>
      </c>
      <c r="C8" s="18" t="s">
        <v>60</v>
      </c>
      <c r="D8" s="16" t="s">
        <v>499</v>
      </c>
      <c r="E8" s="16">
        <v>2007</v>
      </c>
      <c r="F8" s="16" t="s">
        <v>500</v>
      </c>
      <c r="G8" s="16" t="s">
        <v>388</v>
      </c>
      <c r="H8" s="16" t="s">
        <v>501</v>
      </c>
      <c r="I8" s="16" t="s">
        <v>495</v>
      </c>
      <c r="J8" s="16" t="s">
        <v>68</v>
      </c>
      <c r="K8" s="21">
        <v>46290</v>
      </c>
    </row>
    <row r="9" ht="69" customHeight="1" spans="1:11" x14ac:dyDescent="0.25">
      <c r="A9" s="17" t="s">
        <v>56</v>
      </c>
      <c r="B9" s="17" t="s">
        <v>57</v>
      </c>
      <c r="C9" s="18" t="s">
        <v>60</v>
      </c>
      <c r="D9" s="16" t="s">
        <v>41</v>
      </c>
      <c r="E9" s="16" t="s">
        <v>60</v>
      </c>
      <c r="F9" s="16"/>
      <c r="G9" s="16" t="s">
        <v>502</v>
      </c>
      <c r="H9" s="16" t="s">
        <v>503</v>
      </c>
      <c r="I9" s="16" t="s">
        <v>498</v>
      </c>
      <c r="J9" s="16" t="s">
        <v>69</v>
      </c>
      <c r="K9" s="21">
        <v>46290</v>
      </c>
    </row>
    <row r="10" ht="69" customHeight="1" spans="1:11" x14ac:dyDescent="0.25">
      <c r="A10" s="17" t="s">
        <v>56</v>
      </c>
      <c r="B10" s="17" t="s">
        <v>57</v>
      </c>
      <c r="C10" s="18" t="s">
        <v>60</v>
      </c>
      <c r="D10" s="16" t="s">
        <v>42</v>
      </c>
      <c r="E10" s="16" t="s">
        <v>61</v>
      </c>
      <c r="F10" s="16"/>
      <c r="G10" s="16" t="s">
        <v>504</v>
      </c>
      <c r="H10" s="16" t="s">
        <v>66</v>
      </c>
      <c r="I10" s="16" t="s">
        <v>498</v>
      </c>
      <c r="J10" s="16" t="s">
        <v>69</v>
      </c>
      <c r="K10" s="21">
        <v>46290</v>
      </c>
    </row>
    <row r="11" ht="69" customHeight="1" spans="1:11" x14ac:dyDescent="0.25">
      <c r="A11" s="17" t="s">
        <v>56</v>
      </c>
      <c r="B11" s="17" t="s">
        <v>57</v>
      </c>
      <c r="C11" s="18" t="s">
        <v>60</v>
      </c>
      <c r="D11" s="16" t="s">
        <v>43</v>
      </c>
      <c r="E11" s="16" t="s">
        <v>62</v>
      </c>
      <c r="F11" s="16"/>
      <c r="G11" s="16" t="s">
        <v>504</v>
      </c>
      <c r="H11" s="16" t="s">
        <v>66</v>
      </c>
      <c r="I11" s="16" t="s">
        <v>498</v>
      </c>
      <c r="J11" s="16" t="s">
        <v>69</v>
      </c>
      <c r="K11" s="21">
        <v>46290</v>
      </c>
    </row>
    <row r="12" ht="69" customHeight="1" spans="1:11" x14ac:dyDescent="0.25">
      <c r="A12" s="17" t="s">
        <v>56</v>
      </c>
      <c r="B12" s="17" t="s">
        <v>57</v>
      </c>
      <c r="C12" s="18" t="s">
        <v>60</v>
      </c>
      <c r="D12" s="16" t="s">
        <v>505</v>
      </c>
      <c r="E12" s="16" t="s">
        <v>63</v>
      </c>
      <c r="F12" s="16"/>
      <c r="G12" s="16" t="s">
        <v>506</v>
      </c>
      <c r="H12" s="16" t="s">
        <v>66</v>
      </c>
      <c r="I12" s="16" t="s">
        <v>498</v>
      </c>
      <c r="J12" s="16" t="s">
        <v>69</v>
      </c>
      <c r="K12" s="21">
        <v>46290</v>
      </c>
    </row>
    <row r="13" ht="69" customHeight="1" spans="1:11" x14ac:dyDescent="0.25">
      <c r="A13" s="17" t="s">
        <v>56</v>
      </c>
      <c r="B13" s="17" t="s">
        <v>57</v>
      </c>
      <c r="C13" s="18" t="s">
        <v>60</v>
      </c>
      <c r="D13" s="16" t="s">
        <v>507</v>
      </c>
      <c r="E13" s="16">
        <v>80</v>
      </c>
      <c r="F13" s="16" t="s">
        <v>508</v>
      </c>
      <c r="G13" s="16" t="s">
        <v>509</v>
      </c>
      <c r="H13" s="16" t="s">
        <v>510</v>
      </c>
      <c r="I13" s="16" t="s">
        <v>495</v>
      </c>
      <c r="J13" s="16" t="s">
        <v>68</v>
      </c>
      <c r="K13" s="21">
        <v>46290</v>
      </c>
    </row>
    <row r="14" ht="69" customHeight="1" spans="1:11" x14ac:dyDescent="0.25">
      <c r="A14" s="17" t="s">
        <v>56</v>
      </c>
      <c r="B14" s="17" t="s">
        <v>57</v>
      </c>
      <c r="C14" s="18" t="s">
        <v>60</v>
      </c>
      <c r="D14" s="16" t="s">
        <v>511</v>
      </c>
      <c r="E14" s="16">
        <v>14.2</v>
      </c>
      <c r="F14" s="16" t="s">
        <v>508</v>
      </c>
      <c r="G14" s="16" t="s">
        <v>512</v>
      </c>
      <c r="H14" s="16" t="s">
        <v>513</v>
      </c>
      <c r="I14" s="16" t="s">
        <v>495</v>
      </c>
      <c r="J14" s="16" t="s">
        <v>68</v>
      </c>
      <c r="K14" s="21">
        <v>46290</v>
      </c>
    </row>
    <row r="15" ht="69" customHeight="1" spans="1:11" x14ac:dyDescent="0.25">
      <c r="A15" s="17" t="s">
        <v>56</v>
      </c>
      <c r="B15" s="17" t="s">
        <v>57</v>
      </c>
      <c r="C15" s="18" t="s">
        <v>60</v>
      </c>
      <c r="D15" s="16" t="s">
        <v>514</v>
      </c>
      <c r="E15" s="16">
        <v>2310</v>
      </c>
      <c r="F15" s="16" t="s">
        <v>515</v>
      </c>
      <c r="G15" s="16" t="s">
        <v>516</v>
      </c>
      <c r="H15" s="16" t="s">
        <v>517</v>
      </c>
      <c r="I15" s="16" t="s">
        <v>498</v>
      </c>
      <c r="J15" s="16" t="s">
        <v>69</v>
      </c>
      <c r="K15" s="21">
        <v>46290</v>
      </c>
    </row>
    <row r="16" ht="69" customHeight="1" spans="1:11" x14ac:dyDescent="0.25">
      <c r="A16" s="17" t="s">
        <v>56</v>
      </c>
      <c r="B16" s="17" t="s">
        <v>57</v>
      </c>
      <c r="C16" s="18" t="s">
        <v>60</v>
      </c>
      <c r="D16" s="16" t="s">
        <v>518</v>
      </c>
      <c r="E16" s="16">
        <v>80</v>
      </c>
      <c r="F16" s="16" t="s">
        <v>508</v>
      </c>
      <c r="G16" s="16" t="s">
        <v>519</v>
      </c>
      <c r="H16" s="16" t="s">
        <v>67</v>
      </c>
      <c r="I16" s="16" t="s">
        <v>498</v>
      </c>
      <c r="J16" s="16" t="s">
        <v>69</v>
      </c>
      <c r="K16" s="21">
        <v>46290</v>
      </c>
    </row>
    <row r="17" ht="69" customHeight="1" spans="1:11" x14ac:dyDescent="0.25">
      <c r="A17" s="17" t="s">
        <v>56</v>
      </c>
      <c r="B17" s="17" t="s">
        <v>57</v>
      </c>
      <c r="C17" s="18" t="s">
        <v>60</v>
      </c>
      <c r="D17" s="16" t="s">
        <v>520</v>
      </c>
      <c r="E17" s="16">
        <v>12</v>
      </c>
      <c r="F17" s="16" t="s">
        <v>508</v>
      </c>
      <c r="G17" s="16" t="s">
        <v>519</v>
      </c>
      <c r="H17" s="16" t="s">
        <v>67</v>
      </c>
      <c r="I17" s="16" t="s">
        <v>498</v>
      </c>
      <c r="J17" s="16" t="s">
        <v>69</v>
      </c>
      <c r="K17" s="21">
        <v>46290</v>
      </c>
    </row>
    <row r="18" ht="69" customHeight="1" spans="1:11" x14ac:dyDescent="0.25">
      <c r="A18" s="17" t="s">
        <v>56</v>
      </c>
      <c r="B18" s="17" t="s">
        <v>57</v>
      </c>
      <c r="C18" s="18" t="s">
        <v>60</v>
      </c>
      <c r="D18" s="16" t="s">
        <v>516</v>
      </c>
      <c r="E18" s="16">
        <v>2310</v>
      </c>
      <c r="F18" s="16" t="s">
        <v>515</v>
      </c>
      <c r="G18" s="16" t="s">
        <v>521</v>
      </c>
      <c r="H18" s="16" t="s">
        <v>522</v>
      </c>
      <c r="I18" s="16" t="s">
        <v>498</v>
      </c>
      <c r="J18" s="16" t="s">
        <v>69</v>
      </c>
      <c r="K18" s="21">
        <v>46290</v>
      </c>
    </row>
    <row r="19" ht="69" customHeight="1" spans="1:11" x14ac:dyDescent="0.25">
      <c r="A19" s="17" t="s">
        <v>56</v>
      </c>
      <c r="B19" s="17" t="s">
        <v>57</v>
      </c>
      <c r="C19" s="18" t="s">
        <v>60</v>
      </c>
      <c r="D19" s="16" t="s">
        <v>523</v>
      </c>
      <c r="E19" s="16">
        <v>395</v>
      </c>
      <c r="F19" s="16" t="s">
        <v>524</v>
      </c>
      <c r="G19" s="16" t="s">
        <v>521</v>
      </c>
      <c r="H19" s="16" t="s">
        <v>525</v>
      </c>
      <c r="I19" s="16" t="s">
        <v>498</v>
      </c>
      <c r="J19" s="16" t="s">
        <v>69</v>
      </c>
      <c r="K19" s="21">
        <v>46290</v>
      </c>
    </row>
    <row r="20" ht="69" customHeight="1" spans="1:11" x14ac:dyDescent="0.25">
      <c r="A20" s="17" t="s">
        <v>56</v>
      </c>
      <c r="B20" s="17" t="s">
        <v>57</v>
      </c>
      <c r="C20" s="18" t="s">
        <v>60</v>
      </c>
      <c r="D20" s="16" t="s">
        <v>526</v>
      </c>
      <c r="E20" s="16" t="s">
        <v>294</v>
      </c>
      <c r="F20" s="16"/>
      <c r="G20" s="16" t="s">
        <v>527</v>
      </c>
      <c r="H20" s="16"/>
      <c r="I20" s="16" t="s">
        <v>56</v>
      </c>
      <c r="J20" s="16" t="s">
        <v>426</v>
      </c>
      <c r="K20" s="21">
        <v>46290</v>
      </c>
    </row>
    <row r="21" ht="69" customHeight="1" spans="1:11" x14ac:dyDescent="0.25">
      <c r="A21" s="17" t="s">
        <v>56</v>
      </c>
      <c r="B21" s="17" t="s">
        <v>57</v>
      </c>
      <c r="C21" s="18" t="s">
        <v>60</v>
      </c>
      <c r="D21" s="16" t="s">
        <v>277</v>
      </c>
      <c r="E21" s="16" t="s">
        <v>296</v>
      </c>
      <c r="F21" s="16"/>
      <c r="G21" s="16" t="s">
        <v>528</v>
      </c>
      <c r="H21" s="16"/>
      <c r="I21" s="16" t="s">
        <v>495</v>
      </c>
      <c r="J21" s="16" t="s">
        <v>68</v>
      </c>
      <c r="K21" s="21">
        <v>46290</v>
      </c>
    </row>
    <row r="22" ht="69" customHeight="1" spans="1:11" x14ac:dyDescent="0.25">
      <c r="A22" s="17" t="s">
        <v>56</v>
      </c>
      <c r="B22" s="17" t="s">
        <v>57</v>
      </c>
      <c r="C22" s="18" t="s">
        <v>60</v>
      </c>
      <c r="D22" s="16" t="s">
        <v>278</v>
      </c>
      <c r="E22" s="16" t="s">
        <v>297</v>
      </c>
      <c r="F22" s="16"/>
      <c r="G22" s="16" t="s">
        <v>529</v>
      </c>
      <c r="H22" s="16"/>
      <c r="I22" s="16" t="s">
        <v>495</v>
      </c>
      <c r="J22" s="16" t="s">
        <v>68</v>
      </c>
      <c r="K22" s="21">
        <v>46290</v>
      </c>
    </row>
    <row r="23" ht="69" customHeight="1" spans="1:11" x14ac:dyDescent="0.25">
      <c r="A23" s="17" t="s">
        <v>56</v>
      </c>
      <c r="B23" s="17" t="s">
        <v>57</v>
      </c>
      <c r="C23" s="18" t="s">
        <v>60</v>
      </c>
      <c r="D23" s="16" t="s">
        <v>530</v>
      </c>
      <c r="E23" s="16">
        <v>14</v>
      </c>
      <c r="F23" s="16" t="s">
        <v>531</v>
      </c>
      <c r="G23" s="16" t="s">
        <v>527</v>
      </c>
      <c r="H23" s="16"/>
      <c r="I23" s="16" t="s">
        <v>56</v>
      </c>
      <c r="J23" s="16" t="s">
        <v>426</v>
      </c>
      <c r="K23" s="21">
        <v>46290</v>
      </c>
    </row>
    <row r="24" ht="69" customHeight="1" spans="1:11" x14ac:dyDescent="0.25">
      <c r="A24" s="17" t="s">
        <v>56</v>
      </c>
      <c r="B24" s="17" t="s">
        <v>57</v>
      </c>
      <c r="C24" s="18" t="s">
        <v>60</v>
      </c>
      <c r="D24" s="16" t="s">
        <v>532</v>
      </c>
      <c r="E24" s="16">
        <v>20</v>
      </c>
      <c r="F24" s="16" t="s">
        <v>531</v>
      </c>
      <c r="G24" s="16" t="s">
        <v>527</v>
      </c>
      <c r="H24" s="16" t="s">
        <v>533</v>
      </c>
      <c r="I24" s="16" t="s">
        <v>56</v>
      </c>
      <c r="J24" s="16" t="s">
        <v>426</v>
      </c>
      <c r="K24" s="21">
        <v>46290</v>
      </c>
    </row>
    <row r="25" ht="69" customHeight="1" spans="1:11" x14ac:dyDescent="0.25">
      <c r="A25" s="17" t="s">
        <v>56</v>
      </c>
      <c r="B25" s="17" t="s">
        <v>57</v>
      </c>
      <c r="C25" s="18" t="s">
        <v>60</v>
      </c>
      <c r="D25" s="16" t="s">
        <v>534</v>
      </c>
      <c r="E25" s="16">
        <v>12</v>
      </c>
      <c r="F25" s="16" t="s">
        <v>535</v>
      </c>
      <c r="G25" s="16" t="s">
        <v>527</v>
      </c>
      <c r="H25" s="16"/>
      <c r="I25" s="16" t="s">
        <v>56</v>
      </c>
      <c r="J25" s="16" t="s">
        <v>426</v>
      </c>
      <c r="K25" s="21">
        <v>46290</v>
      </c>
    </row>
    <row r="26" ht="69" customHeight="1" spans="1:11" x14ac:dyDescent="0.25">
      <c r="A26" s="17" t="s">
        <v>56</v>
      </c>
      <c r="B26" s="17" t="s">
        <v>57</v>
      </c>
      <c r="C26" s="18" t="s">
        <v>60</v>
      </c>
      <c r="D26" s="16" t="s">
        <v>536</v>
      </c>
      <c r="E26" s="16">
        <v>9</v>
      </c>
      <c r="F26" s="16" t="s">
        <v>537</v>
      </c>
      <c r="G26" s="16" t="s">
        <v>527</v>
      </c>
      <c r="H26" s="16"/>
      <c r="I26" s="16" t="s">
        <v>56</v>
      </c>
      <c r="J26" s="16" t="s">
        <v>426</v>
      </c>
      <c r="K26" s="21">
        <v>46290</v>
      </c>
    </row>
    <row r="27" ht="69" customHeight="1" spans="1:11" x14ac:dyDescent="0.25">
      <c r="A27" s="17" t="s">
        <v>56</v>
      </c>
      <c r="B27" s="17" t="s">
        <v>57</v>
      </c>
      <c r="C27" s="18" t="s">
        <v>60</v>
      </c>
      <c r="D27" s="16" t="s">
        <v>538</v>
      </c>
      <c r="E27" s="16">
        <v>26</v>
      </c>
      <c r="F27" s="16" t="s">
        <v>535</v>
      </c>
      <c r="G27" s="16" t="s">
        <v>527</v>
      </c>
      <c r="H27" s="16"/>
      <c r="I27" s="16" t="s">
        <v>56</v>
      </c>
      <c r="J27" s="16" t="s">
        <v>426</v>
      </c>
      <c r="K27" s="21">
        <v>46290</v>
      </c>
    </row>
    <row r="28" ht="69" customHeight="1" spans="1:11" x14ac:dyDescent="0.25">
      <c r="A28" s="17" t="s">
        <v>56</v>
      </c>
      <c r="B28" s="17" t="s">
        <v>57</v>
      </c>
      <c r="C28" s="18" t="s">
        <v>60</v>
      </c>
      <c r="D28" s="16" t="s">
        <v>539</v>
      </c>
      <c r="E28" s="16">
        <v>2025</v>
      </c>
      <c r="F28" s="16" t="s">
        <v>500</v>
      </c>
      <c r="G28" s="16" t="s">
        <v>527</v>
      </c>
      <c r="H28" s="16"/>
      <c r="I28" s="16" t="s">
        <v>56</v>
      </c>
      <c r="J28" s="16" t="s">
        <v>426</v>
      </c>
      <c r="K28" s="21">
        <v>46290</v>
      </c>
    </row>
    <row r="29" ht="69" customHeight="1" spans="1:11" x14ac:dyDescent="0.25">
      <c r="A29" s="17" t="s">
        <v>56</v>
      </c>
      <c r="B29" s="17" t="s">
        <v>57</v>
      </c>
      <c r="C29" s="18" t="s">
        <v>60</v>
      </c>
      <c r="D29" s="16" t="s">
        <v>540</v>
      </c>
      <c r="E29" s="16" t="s">
        <v>298</v>
      </c>
      <c r="F29" s="16"/>
      <c r="G29" s="16" t="s">
        <v>527</v>
      </c>
      <c r="H29" s="16"/>
      <c r="I29" s="16" t="s">
        <v>56</v>
      </c>
      <c r="J29" s="16" t="s">
        <v>426</v>
      </c>
      <c r="K29" s="21">
        <v>46290</v>
      </c>
    </row>
    <row r="30" ht="69" customHeight="1" spans="1:11" x14ac:dyDescent="0.25">
      <c r="A30" s="17" t="s">
        <v>70</v>
      </c>
      <c r="B30" s="17" t="s">
        <v>71</v>
      </c>
      <c r="C30" s="18" t="s">
        <v>73</v>
      </c>
      <c r="D30" s="16" t="s">
        <v>489</v>
      </c>
      <c r="E30" s="16" t="s">
        <v>70</v>
      </c>
      <c r="F30" s="16"/>
      <c r="G30" s="16" t="s">
        <v>490</v>
      </c>
      <c r="H30" s="16" t="s">
        <v>491</v>
      </c>
      <c r="I30" s="16" t="s">
        <v>70</v>
      </c>
      <c r="J30" s="16" t="s">
        <v>429</v>
      </c>
      <c r="K30" s="21">
        <v>46290</v>
      </c>
    </row>
    <row r="31" ht="69" customHeight="1" spans="1:11" x14ac:dyDescent="0.25">
      <c r="A31" s="17" t="s">
        <v>70</v>
      </c>
      <c r="B31" s="17" t="s">
        <v>71</v>
      </c>
      <c r="C31" s="18" t="s">
        <v>73</v>
      </c>
      <c r="D31" s="16" t="s">
        <v>492</v>
      </c>
      <c r="E31" s="16" t="s">
        <v>71</v>
      </c>
      <c r="F31" s="16"/>
      <c r="G31" s="16" t="s">
        <v>493</v>
      </c>
      <c r="H31" s="16" t="s">
        <v>494</v>
      </c>
      <c r="I31" s="16" t="s">
        <v>541</v>
      </c>
      <c r="J31" s="16" t="s">
        <v>78</v>
      </c>
      <c r="K31" s="21">
        <v>46290</v>
      </c>
    </row>
    <row r="32" ht="69" customHeight="1" spans="1:11" x14ac:dyDescent="0.25">
      <c r="A32" s="17" t="s">
        <v>70</v>
      </c>
      <c r="B32" s="17" t="s">
        <v>71</v>
      </c>
      <c r="C32" s="18" t="s">
        <v>73</v>
      </c>
      <c r="D32" s="16" t="s">
        <v>499</v>
      </c>
      <c r="E32" s="16">
        <v>2007</v>
      </c>
      <c r="F32" s="16" t="s">
        <v>500</v>
      </c>
      <c r="G32" s="16" t="s">
        <v>388</v>
      </c>
      <c r="H32" s="16" t="s">
        <v>501</v>
      </c>
      <c r="I32" s="16" t="s">
        <v>541</v>
      </c>
      <c r="J32" s="16" t="s">
        <v>78</v>
      </c>
      <c r="K32" s="21">
        <v>46290</v>
      </c>
    </row>
    <row r="33" ht="69" customHeight="1" spans="1:11" x14ac:dyDescent="0.25">
      <c r="A33" s="17" t="s">
        <v>70</v>
      </c>
      <c r="B33" s="17" t="s">
        <v>71</v>
      </c>
      <c r="C33" s="18" t="s">
        <v>73</v>
      </c>
      <c r="D33" s="16" t="s">
        <v>41</v>
      </c>
      <c r="E33" s="16" t="s">
        <v>73</v>
      </c>
      <c r="F33" s="16"/>
      <c r="G33" s="16" t="s">
        <v>502</v>
      </c>
      <c r="H33" s="16" t="s">
        <v>503</v>
      </c>
      <c r="I33" s="16" t="s">
        <v>542</v>
      </c>
      <c r="J33" s="16" t="s">
        <v>79</v>
      </c>
      <c r="K33" s="21">
        <v>46290</v>
      </c>
    </row>
    <row r="34" ht="69" customHeight="1" spans="1:11" x14ac:dyDescent="0.25">
      <c r="A34" s="17" t="s">
        <v>70</v>
      </c>
      <c r="B34" s="17" t="s">
        <v>71</v>
      </c>
      <c r="C34" s="18" t="s">
        <v>73</v>
      </c>
      <c r="D34" s="16" t="s">
        <v>42</v>
      </c>
      <c r="E34" s="16" t="s">
        <v>74</v>
      </c>
      <c r="F34" s="16"/>
      <c r="G34" s="16" t="s">
        <v>504</v>
      </c>
      <c r="H34" s="16" t="s">
        <v>66</v>
      </c>
      <c r="I34" s="16" t="s">
        <v>542</v>
      </c>
      <c r="J34" s="16" t="s">
        <v>79</v>
      </c>
      <c r="K34" s="21">
        <v>46290</v>
      </c>
    </row>
    <row r="35" ht="69" customHeight="1" spans="1:11" x14ac:dyDescent="0.25">
      <c r="A35" s="17" t="s">
        <v>70</v>
      </c>
      <c r="B35" s="17" t="s">
        <v>71</v>
      </c>
      <c r="C35" s="18" t="s">
        <v>73</v>
      </c>
      <c r="D35" s="16" t="s">
        <v>43</v>
      </c>
      <c r="E35" s="16" t="s">
        <v>75</v>
      </c>
      <c r="F35" s="16"/>
      <c r="G35" s="16" t="s">
        <v>504</v>
      </c>
      <c r="H35" s="16" t="s">
        <v>66</v>
      </c>
      <c r="I35" s="16" t="s">
        <v>542</v>
      </c>
      <c r="J35" s="16" t="s">
        <v>79</v>
      </c>
      <c r="K35" s="21">
        <v>46290</v>
      </c>
    </row>
    <row r="36" ht="69" customHeight="1" spans="1:11" x14ac:dyDescent="0.25">
      <c r="A36" s="17" t="s">
        <v>70</v>
      </c>
      <c r="B36" s="17" t="s">
        <v>71</v>
      </c>
      <c r="C36" s="18" t="s">
        <v>73</v>
      </c>
      <c r="D36" s="16" t="s">
        <v>505</v>
      </c>
      <c r="E36" s="16" t="s">
        <v>76</v>
      </c>
      <c r="F36" s="16"/>
      <c r="G36" s="16" t="s">
        <v>506</v>
      </c>
      <c r="H36" s="16" t="s">
        <v>66</v>
      </c>
      <c r="I36" s="16" t="s">
        <v>542</v>
      </c>
      <c r="J36" s="16" t="s">
        <v>79</v>
      </c>
      <c r="K36" s="21">
        <v>46290</v>
      </c>
    </row>
    <row r="37" ht="69" customHeight="1" spans="1:11" x14ac:dyDescent="0.25">
      <c r="A37" s="17" t="s">
        <v>70</v>
      </c>
      <c r="B37" s="17" t="s">
        <v>71</v>
      </c>
      <c r="C37" s="18" t="s">
        <v>73</v>
      </c>
      <c r="D37" s="16" t="s">
        <v>507</v>
      </c>
      <c r="E37" s="16">
        <v>82</v>
      </c>
      <c r="F37" s="16" t="s">
        <v>508</v>
      </c>
      <c r="G37" s="16" t="s">
        <v>509</v>
      </c>
      <c r="H37" s="16" t="s">
        <v>510</v>
      </c>
      <c r="I37" s="16" t="s">
        <v>541</v>
      </c>
      <c r="J37" s="16" t="s">
        <v>78</v>
      </c>
      <c r="K37" s="21">
        <v>46290</v>
      </c>
    </row>
    <row r="38" ht="69" customHeight="1" spans="1:11" x14ac:dyDescent="0.25">
      <c r="A38" s="17" t="s">
        <v>70</v>
      </c>
      <c r="B38" s="17" t="s">
        <v>71</v>
      </c>
      <c r="C38" s="18" t="s">
        <v>73</v>
      </c>
      <c r="D38" s="16" t="s">
        <v>511</v>
      </c>
      <c r="E38" s="16">
        <v>14.2</v>
      </c>
      <c r="F38" s="16" t="s">
        <v>508</v>
      </c>
      <c r="G38" s="16" t="s">
        <v>512</v>
      </c>
      <c r="H38" s="16" t="s">
        <v>513</v>
      </c>
      <c r="I38" s="16" t="s">
        <v>541</v>
      </c>
      <c r="J38" s="16" t="s">
        <v>78</v>
      </c>
      <c r="K38" s="21">
        <v>46290</v>
      </c>
    </row>
    <row r="39" ht="69" customHeight="1" spans="1:11" x14ac:dyDescent="0.25">
      <c r="A39" s="17" t="s">
        <v>70</v>
      </c>
      <c r="B39" s="17" t="s">
        <v>71</v>
      </c>
      <c r="C39" s="18" t="s">
        <v>73</v>
      </c>
      <c r="D39" s="16" t="s">
        <v>514</v>
      </c>
      <c r="E39" s="16">
        <v>2159</v>
      </c>
      <c r="F39" s="16" t="s">
        <v>515</v>
      </c>
      <c r="G39" s="16" t="s">
        <v>516</v>
      </c>
      <c r="H39" s="16" t="s">
        <v>517</v>
      </c>
      <c r="I39" s="16" t="s">
        <v>542</v>
      </c>
      <c r="J39" s="16" t="s">
        <v>79</v>
      </c>
      <c r="K39" s="21">
        <v>46290</v>
      </c>
    </row>
    <row r="40" ht="69" customHeight="1" spans="1:11" x14ac:dyDescent="0.25">
      <c r="A40" s="17" t="s">
        <v>70</v>
      </c>
      <c r="B40" s="17" t="s">
        <v>71</v>
      </c>
      <c r="C40" s="18" t="s">
        <v>73</v>
      </c>
      <c r="D40" s="16" t="s">
        <v>518</v>
      </c>
      <c r="E40" s="16">
        <v>81.27</v>
      </c>
      <c r="F40" s="16" t="s">
        <v>508</v>
      </c>
      <c r="G40" s="16" t="s">
        <v>519</v>
      </c>
      <c r="H40" s="16" t="s">
        <v>77</v>
      </c>
      <c r="I40" s="16" t="s">
        <v>542</v>
      </c>
      <c r="J40" s="16" t="s">
        <v>79</v>
      </c>
      <c r="K40" s="21">
        <v>46290</v>
      </c>
    </row>
    <row r="41" ht="69" customHeight="1" spans="1:11" x14ac:dyDescent="0.25">
      <c r="A41" s="17" t="s">
        <v>70</v>
      </c>
      <c r="B41" s="17" t="s">
        <v>71</v>
      </c>
      <c r="C41" s="18" t="s">
        <v>73</v>
      </c>
      <c r="D41" s="16" t="s">
        <v>520</v>
      </c>
      <c r="E41" s="16">
        <v>14.24</v>
      </c>
      <c r="F41" s="16" t="s">
        <v>508</v>
      </c>
      <c r="G41" s="16" t="s">
        <v>519</v>
      </c>
      <c r="H41" s="16" t="s">
        <v>77</v>
      </c>
      <c r="I41" s="16" t="s">
        <v>542</v>
      </c>
      <c r="J41" s="16" t="s">
        <v>79</v>
      </c>
      <c r="K41" s="21">
        <v>46290</v>
      </c>
    </row>
    <row r="42" ht="69" customHeight="1" spans="1:11" x14ac:dyDescent="0.25">
      <c r="A42" s="17" t="s">
        <v>70</v>
      </c>
      <c r="B42" s="17" t="s">
        <v>71</v>
      </c>
      <c r="C42" s="18" t="s">
        <v>73</v>
      </c>
      <c r="D42" s="16" t="s">
        <v>516</v>
      </c>
      <c r="E42" s="16">
        <v>2159</v>
      </c>
      <c r="F42" s="16" t="s">
        <v>515</v>
      </c>
      <c r="G42" s="16" t="s">
        <v>521</v>
      </c>
      <c r="H42" s="16" t="s">
        <v>522</v>
      </c>
      <c r="I42" s="16" t="s">
        <v>542</v>
      </c>
      <c r="J42" s="16" t="s">
        <v>79</v>
      </c>
      <c r="K42" s="21">
        <v>46290</v>
      </c>
    </row>
    <row r="43" ht="69" customHeight="1" spans="1:11" x14ac:dyDescent="0.25">
      <c r="A43" s="17" t="s">
        <v>70</v>
      </c>
      <c r="B43" s="17" t="s">
        <v>71</v>
      </c>
      <c r="C43" s="18" t="s">
        <v>73</v>
      </c>
      <c r="D43" s="16" t="s">
        <v>523</v>
      </c>
      <c r="E43" s="16">
        <v>482</v>
      </c>
      <c r="F43" s="16" t="s">
        <v>524</v>
      </c>
      <c r="G43" s="16" t="s">
        <v>521</v>
      </c>
      <c r="H43" s="16" t="s">
        <v>525</v>
      </c>
      <c r="I43" s="16" t="s">
        <v>542</v>
      </c>
      <c r="J43" s="16" t="s">
        <v>79</v>
      </c>
      <c r="K43" s="21">
        <v>46290</v>
      </c>
    </row>
    <row r="44" ht="69" customHeight="1" spans="1:11" x14ac:dyDescent="0.25">
      <c r="A44" s="17" t="s">
        <v>70</v>
      </c>
      <c r="B44" s="17" t="s">
        <v>71</v>
      </c>
      <c r="C44" s="18" t="s">
        <v>73</v>
      </c>
      <c r="D44" s="16" t="s">
        <v>543</v>
      </c>
      <c r="E44" s="16">
        <v>3.9</v>
      </c>
      <c r="F44" s="16" t="s">
        <v>508</v>
      </c>
      <c r="G44" s="16" t="s">
        <v>527</v>
      </c>
      <c r="H44" s="16" t="s">
        <v>544</v>
      </c>
      <c r="I44" s="16" t="s">
        <v>545</v>
      </c>
      <c r="J44" s="16" t="s">
        <v>546</v>
      </c>
      <c r="K44" s="21">
        <v>46290</v>
      </c>
    </row>
    <row r="45" ht="69" customHeight="1" spans="1:11" x14ac:dyDescent="0.25">
      <c r="A45" s="17" t="s">
        <v>70</v>
      </c>
      <c r="B45" s="17" t="s">
        <v>71</v>
      </c>
      <c r="C45" s="18" t="s">
        <v>73</v>
      </c>
      <c r="D45" s="16" t="s">
        <v>526</v>
      </c>
      <c r="E45" s="16" t="s">
        <v>294</v>
      </c>
      <c r="F45" s="16"/>
      <c r="G45" s="16" t="s">
        <v>527</v>
      </c>
      <c r="H45" s="16"/>
      <c r="I45" s="16" t="s">
        <v>545</v>
      </c>
      <c r="J45" s="16" t="s">
        <v>546</v>
      </c>
      <c r="K45" s="21">
        <v>46290</v>
      </c>
    </row>
    <row r="46" ht="69" customHeight="1" spans="1:11" x14ac:dyDescent="0.25">
      <c r="A46" s="17" t="s">
        <v>70</v>
      </c>
      <c r="B46" s="17" t="s">
        <v>71</v>
      </c>
      <c r="C46" s="18" t="s">
        <v>73</v>
      </c>
      <c r="D46" s="16" t="s">
        <v>277</v>
      </c>
      <c r="E46" s="16" t="s">
        <v>296</v>
      </c>
      <c r="F46" s="16"/>
      <c r="G46" s="16" t="s">
        <v>528</v>
      </c>
      <c r="H46" s="16"/>
      <c r="I46" s="16" t="s">
        <v>541</v>
      </c>
      <c r="J46" s="16" t="s">
        <v>78</v>
      </c>
      <c r="K46" s="21">
        <v>46290</v>
      </c>
    </row>
    <row r="47" ht="69" customHeight="1" spans="1:11" x14ac:dyDescent="0.25">
      <c r="A47" s="17" t="s">
        <v>70</v>
      </c>
      <c r="B47" s="17" t="s">
        <v>71</v>
      </c>
      <c r="C47" s="18" t="s">
        <v>73</v>
      </c>
      <c r="D47" s="16" t="s">
        <v>278</v>
      </c>
      <c r="E47" s="16" t="s">
        <v>302</v>
      </c>
      <c r="F47" s="16"/>
      <c r="G47" s="16" t="s">
        <v>529</v>
      </c>
      <c r="H47" s="16"/>
      <c r="I47" s="16" t="s">
        <v>541</v>
      </c>
      <c r="J47" s="16" t="s">
        <v>78</v>
      </c>
      <c r="K47" s="21">
        <v>46290</v>
      </c>
    </row>
    <row r="48" ht="69" customHeight="1" spans="1:11" x14ac:dyDescent="0.25">
      <c r="A48" s="17" t="s">
        <v>70</v>
      </c>
      <c r="B48" s="17" t="s">
        <v>71</v>
      </c>
      <c r="C48" s="18" t="s">
        <v>73</v>
      </c>
      <c r="D48" s="16" t="s">
        <v>547</v>
      </c>
      <c r="E48" s="16" t="s">
        <v>303</v>
      </c>
      <c r="F48" s="16"/>
      <c r="G48" s="16" t="s">
        <v>527</v>
      </c>
      <c r="H48" s="16"/>
      <c r="I48" s="16" t="s">
        <v>545</v>
      </c>
      <c r="J48" s="16" t="s">
        <v>546</v>
      </c>
      <c r="K48" s="21">
        <v>46290</v>
      </c>
    </row>
    <row r="49" ht="69" customHeight="1" spans="1:11" x14ac:dyDescent="0.25">
      <c r="A49" s="17" t="s">
        <v>70</v>
      </c>
      <c r="B49" s="17" t="s">
        <v>71</v>
      </c>
      <c r="C49" s="18" t="s">
        <v>73</v>
      </c>
      <c r="D49" s="16" t="s">
        <v>530</v>
      </c>
      <c r="E49" s="16">
        <v>15</v>
      </c>
      <c r="F49" s="16" t="s">
        <v>531</v>
      </c>
      <c r="G49" s="16" t="s">
        <v>527</v>
      </c>
      <c r="H49" s="16"/>
      <c r="I49" s="16" t="s">
        <v>545</v>
      </c>
      <c r="J49" s="16" t="s">
        <v>546</v>
      </c>
      <c r="K49" s="21">
        <v>46290</v>
      </c>
    </row>
    <row r="50" ht="69" customHeight="1" spans="1:11" x14ac:dyDescent="0.25">
      <c r="A50" s="17" t="s">
        <v>70</v>
      </c>
      <c r="B50" s="17" t="s">
        <v>71</v>
      </c>
      <c r="C50" s="18" t="s">
        <v>73</v>
      </c>
      <c r="D50" s="16" t="s">
        <v>532</v>
      </c>
      <c r="E50" s="16">
        <v>20</v>
      </c>
      <c r="F50" s="16" t="s">
        <v>531</v>
      </c>
      <c r="G50" s="16" t="s">
        <v>527</v>
      </c>
      <c r="H50" s="16"/>
      <c r="I50" s="16" t="s">
        <v>545</v>
      </c>
      <c r="J50" s="16" t="s">
        <v>546</v>
      </c>
      <c r="K50" s="21">
        <v>46290</v>
      </c>
    </row>
    <row r="51" ht="69" customHeight="1" spans="1:11" x14ac:dyDescent="0.25">
      <c r="A51" s="17" t="s">
        <v>70</v>
      </c>
      <c r="B51" s="17" t="s">
        <v>71</v>
      </c>
      <c r="C51" s="18" t="s">
        <v>73</v>
      </c>
      <c r="D51" s="16" t="s">
        <v>548</v>
      </c>
      <c r="E51" s="16">
        <v>5500</v>
      </c>
      <c r="F51" s="16" t="s">
        <v>549</v>
      </c>
      <c r="G51" s="16" t="s">
        <v>527</v>
      </c>
      <c r="H51" s="16" t="s">
        <v>550</v>
      </c>
      <c r="I51" s="16" t="s">
        <v>545</v>
      </c>
      <c r="J51" s="16" t="s">
        <v>546</v>
      </c>
      <c r="K51" s="21">
        <v>46290</v>
      </c>
    </row>
    <row r="52" ht="69" customHeight="1" spans="1:11" x14ac:dyDescent="0.25">
      <c r="A52" s="17" t="s">
        <v>70</v>
      </c>
      <c r="B52" s="17" t="s">
        <v>71</v>
      </c>
      <c r="C52" s="18" t="s">
        <v>73</v>
      </c>
      <c r="D52" s="16" t="s">
        <v>534</v>
      </c>
      <c r="E52" s="16">
        <v>12</v>
      </c>
      <c r="F52" s="16" t="s">
        <v>535</v>
      </c>
      <c r="G52" s="16" t="s">
        <v>527</v>
      </c>
      <c r="H52" s="16"/>
      <c r="I52" s="16" t="s">
        <v>545</v>
      </c>
      <c r="J52" s="16" t="s">
        <v>546</v>
      </c>
      <c r="K52" s="21">
        <v>46290</v>
      </c>
    </row>
    <row r="53" ht="69" customHeight="1" spans="1:11" x14ac:dyDescent="0.25">
      <c r="A53" s="17" t="s">
        <v>70</v>
      </c>
      <c r="B53" s="17" t="s">
        <v>71</v>
      </c>
      <c r="C53" s="18" t="s">
        <v>73</v>
      </c>
      <c r="D53" s="16" t="s">
        <v>536</v>
      </c>
      <c r="E53" s="16">
        <v>6</v>
      </c>
      <c r="F53" s="16" t="s">
        <v>537</v>
      </c>
      <c r="G53" s="16" t="s">
        <v>527</v>
      </c>
      <c r="H53" s="16"/>
      <c r="I53" s="16" t="s">
        <v>545</v>
      </c>
      <c r="J53" s="16" t="s">
        <v>546</v>
      </c>
      <c r="K53" s="21">
        <v>46290</v>
      </c>
    </row>
    <row r="54" ht="69" customHeight="1" spans="1:11" x14ac:dyDescent="0.25">
      <c r="A54" s="17" t="s">
        <v>70</v>
      </c>
      <c r="B54" s="17" t="s">
        <v>71</v>
      </c>
      <c r="C54" s="18" t="s">
        <v>73</v>
      </c>
      <c r="D54" s="16" t="s">
        <v>538</v>
      </c>
      <c r="E54" s="16">
        <v>28</v>
      </c>
      <c r="F54" s="16" t="s">
        <v>535</v>
      </c>
      <c r="G54" s="16" t="s">
        <v>527</v>
      </c>
      <c r="H54" s="16"/>
      <c r="I54" s="16" t="s">
        <v>545</v>
      </c>
      <c r="J54" s="16" t="s">
        <v>546</v>
      </c>
      <c r="K54" s="21">
        <v>46290</v>
      </c>
    </row>
    <row r="55" ht="69" customHeight="1" spans="1:11" x14ac:dyDescent="0.25">
      <c r="A55" s="17" t="s">
        <v>70</v>
      </c>
      <c r="B55" s="17" t="s">
        <v>71</v>
      </c>
      <c r="C55" s="18" t="s">
        <v>73</v>
      </c>
      <c r="D55" s="16" t="s">
        <v>551</v>
      </c>
      <c r="E55" s="16" t="s">
        <v>304</v>
      </c>
      <c r="F55" s="16"/>
      <c r="G55" s="16" t="s">
        <v>527</v>
      </c>
      <c r="H55" s="16"/>
      <c r="I55" s="16" t="s">
        <v>545</v>
      </c>
      <c r="J55" s="16" t="s">
        <v>546</v>
      </c>
      <c r="K55" s="21">
        <v>46290</v>
      </c>
    </row>
    <row r="56" ht="69" customHeight="1" spans="1:11" x14ac:dyDescent="0.25">
      <c r="A56" s="17" t="s">
        <v>70</v>
      </c>
      <c r="B56" s="17" t="s">
        <v>71</v>
      </c>
      <c r="C56" s="18" t="s">
        <v>73</v>
      </c>
      <c r="D56" s="16" t="s">
        <v>539</v>
      </c>
      <c r="E56" s="16">
        <v>2024</v>
      </c>
      <c r="F56" s="16" t="s">
        <v>500</v>
      </c>
      <c r="G56" s="16" t="s">
        <v>527</v>
      </c>
      <c r="H56" s="16"/>
      <c r="I56" s="16" t="s">
        <v>545</v>
      </c>
      <c r="J56" s="16" t="s">
        <v>546</v>
      </c>
      <c r="K56" s="21">
        <v>46290</v>
      </c>
    </row>
    <row r="57" ht="69" customHeight="1" spans="1:11" x14ac:dyDescent="0.25">
      <c r="A57" s="17" t="s">
        <v>70</v>
      </c>
      <c r="B57" s="17" t="s">
        <v>71</v>
      </c>
      <c r="C57" s="18" t="s">
        <v>73</v>
      </c>
      <c r="D57" s="16" t="s">
        <v>540</v>
      </c>
      <c r="E57" s="16" t="s">
        <v>305</v>
      </c>
      <c r="F57" s="16"/>
      <c r="G57" s="16" t="s">
        <v>527</v>
      </c>
      <c r="H57" s="16"/>
      <c r="I57" s="16" t="s">
        <v>545</v>
      </c>
      <c r="J57" s="16" t="s">
        <v>546</v>
      </c>
      <c r="K57" s="21">
        <v>46290</v>
      </c>
    </row>
    <row r="58" ht="69" customHeight="1" spans="1:11" x14ac:dyDescent="0.25">
      <c r="A58" s="17" t="s">
        <v>70</v>
      </c>
      <c r="B58" s="17" t="s">
        <v>71</v>
      </c>
      <c r="C58" s="18" t="s">
        <v>73</v>
      </c>
      <c r="D58" s="16" t="s">
        <v>552</v>
      </c>
      <c r="E58" s="16" t="s">
        <v>553</v>
      </c>
      <c r="F58" s="16"/>
      <c r="G58" s="16" t="s">
        <v>554</v>
      </c>
      <c r="H58" s="16" t="s">
        <v>555</v>
      </c>
      <c r="I58" s="16" t="s">
        <v>545</v>
      </c>
      <c r="J58" s="16" t="s">
        <v>546</v>
      </c>
      <c r="K58" s="21">
        <v>46290</v>
      </c>
    </row>
    <row r="59" ht="69" customHeight="1" spans="1:11" x14ac:dyDescent="0.25">
      <c r="A59" s="17" t="s">
        <v>80</v>
      </c>
      <c r="B59" s="17" t="s">
        <v>81</v>
      </c>
      <c r="C59" s="18" t="s">
        <v>83</v>
      </c>
      <c r="D59" s="16" t="s">
        <v>489</v>
      </c>
      <c r="E59" s="16" t="s">
        <v>80</v>
      </c>
      <c r="F59" s="16"/>
      <c r="G59" s="16" t="s">
        <v>490</v>
      </c>
      <c r="H59" s="16" t="s">
        <v>491</v>
      </c>
      <c r="I59" s="16" t="s">
        <v>80</v>
      </c>
      <c r="J59" s="16" t="s">
        <v>432</v>
      </c>
      <c r="K59" s="21">
        <v>46290</v>
      </c>
    </row>
    <row r="60" ht="69" customHeight="1" spans="1:11" x14ac:dyDescent="0.25">
      <c r="A60" s="17" t="s">
        <v>80</v>
      </c>
      <c r="B60" s="17" t="s">
        <v>81</v>
      </c>
      <c r="C60" s="18" t="s">
        <v>83</v>
      </c>
      <c r="D60" s="16" t="s">
        <v>492</v>
      </c>
      <c r="E60" s="16" t="s">
        <v>81</v>
      </c>
      <c r="F60" s="16"/>
      <c r="G60" s="16" t="s">
        <v>493</v>
      </c>
      <c r="H60" s="16" t="s">
        <v>494</v>
      </c>
      <c r="I60" s="16" t="s">
        <v>556</v>
      </c>
      <c r="J60" s="16" t="s">
        <v>87</v>
      </c>
      <c r="K60" s="21">
        <v>46290</v>
      </c>
    </row>
    <row r="61" ht="69" customHeight="1" spans="1:11" x14ac:dyDescent="0.25">
      <c r="A61" s="17" t="s">
        <v>80</v>
      </c>
      <c r="B61" s="17" t="s">
        <v>81</v>
      </c>
      <c r="C61" s="18" t="s">
        <v>83</v>
      </c>
      <c r="D61" s="16" t="s">
        <v>38</v>
      </c>
      <c r="E61" s="16" t="s">
        <v>82</v>
      </c>
      <c r="F61" s="16"/>
      <c r="G61" s="16" t="s">
        <v>496</v>
      </c>
      <c r="H61" s="16" t="s">
        <v>497</v>
      </c>
      <c r="I61" s="16" t="s">
        <v>557</v>
      </c>
      <c r="J61" s="16" t="s">
        <v>88</v>
      </c>
      <c r="K61" s="21">
        <v>46290</v>
      </c>
    </row>
    <row r="62" ht="69" customHeight="1" spans="1:11" x14ac:dyDescent="0.25">
      <c r="A62" s="17" t="s">
        <v>80</v>
      </c>
      <c r="B62" s="17" t="s">
        <v>81</v>
      </c>
      <c r="C62" s="18" t="s">
        <v>83</v>
      </c>
      <c r="D62" s="16" t="s">
        <v>499</v>
      </c>
      <c r="E62" s="16">
        <v>2008</v>
      </c>
      <c r="F62" s="16" t="s">
        <v>500</v>
      </c>
      <c r="G62" s="16" t="s">
        <v>388</v>
      </c>
      <c r="H62" s="16" t="s">
        <v>501</v>
      </c>
      <c r="I62" s="16" t="s">
        <v>556</v>
      </c>
      <c r="J62" s="16" t="s">
        <v>87</v>
      </c>
      <c r="K62" s="21">
        <v>46290</v>
      </c>
    </row>
    <row r="63" ht="69" customHeight="1" spans="1:11" x14ac:dyDescent="0.25">
      <c r="A63" s="17" t="s">
        <v>80</v>
      </c>
      <c r="B63" s="17" t="s">
        <v>81</v>
      </c>
      <c r="C63" s="18" t="s">
        <v>83</v>
      </c>
      <c r="D63" s="16" t="s">
        <v>41</v>
      </c>
      <c r="E63" s="16" t="s">
        <v>83</v>
      </c>
      <c r="F63" s="16"/>
      <c r="G63" s="16" t="s">
        <v>502</v>
      </c>
      <c r="H63" s="16" t="s">
        <v>503</v>
      </c>
      <c r="I63" s="16" t="s">
        <v>557</v>
      </c>
      <c r="J63" s="16" t="s">
        <v>88</v>
      </c>
      <c r="K63" s="21">
        <v>46290</v>
      </c>
    </row>
    <row r="64" ht="69" customHeight="1" spans="1:11" x14ac:dyDescent="0.25">
      <c r="A64" s="17" t="s">
        <v>80</v>
      </c>
      <c r="B64" s="17" t="s">
        <v>81</v>
      </c>
      <c r="C64" s="18" t="s">
        <v>83</v>
      </c>
      <c r="D64" s="16" t="s">
        <v>42</v>
      </c>
      <c r="E64" s="16" t="s">
        <v>84</v>
      </c>
      <c r="F64" s="16"/>
      <c r="G64" s="16" t="s">
        <v>504</v>
      </c>
      <c r="H64" s="16" t="s">
        <v>66</v>
      </c>
      <c r="I64" s="16" t="s">
        <v>557</v>
      </c>
      <c r="J64" s="16" t="s">
        <v>88</v>
      </c>
      <c r="K64" s="21">
        <v>46290</v>
      </c>
    </row>
    <row r="65" ht="69" customHeight="1" spans="1:11" x14ac:dyDescent="0.25">
      <c r="A65" s="17" t="s">
        <v>80</v>
      </c>
      <c r="B65" s="17" t="s">
        <v>81</v>
      </c>
      <c r="C65" s="18" t="s">
        <v>83</v>
      </c>
      <c r="D65" s="16" t="s">
        <v>43</v>
      </c>
      <c r="E65" s="16" t="s">
        <v>85</v>
      </c>
      <c r="F65" s="16"/>
      <c r="G65" s="16" t="s">
        <v>504</v>
      </c>
      <c r="H65" s="16" t="s">
        <v>66</v>
      </c>
      <c r="I65" s="16" t="s">
        <v>557</v>
      </c>
      <c r="J65" s="16" t="s">
        <v>88</v>
      </c>
      <c r="K65" s="21">
        <v>46290</v>
      </c>
    </row>
    <row r="66" ht="69" customHeight="1" spans="1:11" x14ac:dyDescent="0.25">
      <c r="A66" s="17" t="s">
        <v>80</v>
      </c>
      <c r="B66" s="17" t="s">
        <v>81</v>
      </c>
      <c r="C66" s="18" t="s">
        <v>83</v>
      </c>
      <c r="D66" s="16" t="s">
        <v>505</v>
      </c>
      <c r="E66" s="16" t="s">
        <v>76</v>
      </c>
      <c r="F66" s="16"/>
      <c r="G66" s="16" t="s">
        <v>506</v>
      </c>
      <c r="H66" s="16" t="s">
        <v>66</v>
      </c>
      <c r="I66" s="16" t="s">
        <v>557</v>
      </c>
      <c r="J66" s="16" t="s">
        <v>88</v>
      </c>
      <c r="K66" s="21">
        <v>46290</v>
      </c>
    </row>
    <row r="67" ht="69" customHeight="1" spans="1:11" x14ac:dyDescent="0.25">
      <c r="A67" s="17" t="s">
        <v>80</v>
      </c>
      <c r="B67" s="17" t="s">
        <v>81</v>
      </c>
      <c r="C67" s="18" t="s">
        <v>83</v>
      </c>
      <c r="D67" s="16" t="s">
        <v>507</v>
      </c>
      <c r="E67" s="16">
        <v>75.5</v>
      </c>
      <c r="F67" s="16" t="s">
        <v>508</v>
      </c>
      <c r="G67" s="16" t="s">
        <v>509</v>
      </c>
      <c r="H67" s="16" t="s">
        <v>510</v>
      </c>
      <c r="I67" s="16" t="s">
        <v>556</v>
      </c>
      <c r="J67" s="16" t="s">
        <v>87</v>
      </c>
      <c r="K67" s="21">
        <v>46290</v>
      </c>
    </row>
    <row r="68" ht="69" customHeight="1" spans="1:11" x14ac:dyDescent="0.25">
      <c r="A68" s="17" t="s">
        <v>80</v>
      </c>
      <c r="B68" s="17" t="s">
        <v>81</v>
      </c>
      <c r="C68" s="18" t="s">
        <v>83</v>
      </c>
      <c r="D68" s="16" t="s">
        <v>511</v>
      </c>
      <c r="E68" s="16">
        <v>13.5</v>
      </c>
      <c r="F68" s="16" t="s">
        <v>508</v>
      </c>
      <c r="G68" s="16" t="s">
        <v>512</v>
      </c>
      <c r="H68" s="16" t="s">
        <v>513</v>
      </c>
      <c r="I68" s="16" t="s">
        <v>556</v>
      </c>
      <c r="J68" s="16" t="s">
        <v>87</v>
      </c>
      <c r="K68" s="21">
        <v>46290</v>
      </c>
    </row>
    <row r="69" ht="69" customHeight="1" spans="1:11" x14ac:dyDescent="0.25">
      <c r="A69" s="17" t="s">
        <v>80</v>
      </c>
      <c r="B69" s="17" t="s">
        <v>81</v>
      </c>
      <c r="C69" s="18" t="s">
        <v>83</v>
      </c>
      <c r="D69" s="16" t="s">
        <v>514</v>
      </c>
      <c r="E69" s="16">
        <v>1991</v>
      </c>
      <c r="F69" s="16" t="s">
        <v>515</v>
      </c>
      <c r="G69" s="16" t="s">
        <v>516</v>
      </c>
      <c r="H69" s="16" t="s">
        <v>517</v>
      </c>
      <c r="I69" s="16" t="s">
        <v>557</v>
      </c>
      <c r="J69" s="16" t="s">
        <v>88</v>
      </c>
      <c r="K69" s="21">
        <v>46290</v>
      </c>
    </row>
    <row r="70" ht="69" customHeight="1" spans="1:11" x14ac:dyDescent="0.25">
      <c r="A70" s="17" t="s">
        <v>80</v>
      </c>
      <c r="B70" s="17" t="s">
        <v>81</v>
      </c>
      <c r="C70" s="18" t="s">
        <v>83</v>
      </c>
      <c r="D70" s="16" t="s">
        <v>518</v>
      </c>
      <c r="E70" s="16">
        <v>75.5</v>
      </c>
      <c r="F70" s="16" t="s">
        <v>508</v>
      </c>
      <c r="G70" s="16" t="s">
        <v>519</v>
      </c>
      <c r="H70" s="16" t="s">
        <v>86</v>
      </c>
      <c r="I70" s="16" t="s">
        <v>557</v>
      </c>
      <c r="J70" s="16" t="s">
        <v>88</v>
      </c>
      <c r="K70" s="21">
        <v>46290</v>
      </c>
    </row>
    <row r="71" ht="69" customHeight="1" spans="1:11" x14ac:dyDescent="0.25">
      <c r="A71" s="17" t="s">
        <v>80</v>
      </c>
      <c r="B71" s="17" t="s">
        <v>81</v>
      </c>
      <c r="C71" s="18" t="s">
        <v>83</v>
      </c>
      <c r="D71" s="16" t="s">
        <v>520</v>
      </c>
      <c r="E71" s="16">
        <v>13.38</v>
      </c>
      <c r="F71" s="16" t="s">
        <v>508</v>
      </c>
      <c r="G71" s="16" t="s">
        <v>519</v>
      </c>
      <c r="H71" s="16" t="s">
        <v>86</v>
      </c>
      <c r="I71" s="16" t="s">
        <v>557</v>
      </c>
      <c r="J71" s="16" t="s">
        <v>88</v>
      </c>
      <c r="K71" s="21">
        <v>46290</v>
      </c>
    </row>
    <row r="72" ht="69" customHeight="1" spans="1:11" x14ac:dyDescent="0.25">
      <c r="A72" s="17" t="s">
        <v>80</v>
      </c>
      <c r="B72" s="17" t="s">
        <v>81</v>
      </c>
      <c r="C72" s="18" t="s">
        <v>83</v>
      </c>
      <c r="D72" s="16" t="s">
        <v>516</v>
      </c>
      <c r="E72" s="16">
        <v>1991</v>
      </c>
      <c r="F72" s="16" t="s">
        <v>515</v>
      </c>
      <c r="G72" s="16" t="s">
        <v>521</v>
      </c>
      <c r="H72" s="16" t="s">
        <v>522</v>
      </c>
      <c r="I72" s="16" t="s">
        <v>557</v>
      </c>
      <c r="J72" s="16" t="s">
        <v>88</v>
      </c>
      <c r="K72" s="21">
        <v>46290</v>
      </c>
    </row>
    <row r="73" ht="69" customHeight="1" spans="1:11" x14ac:dyDescent="0.25">
      <c r="A73" s="17" t="s">
        <v>80</v>
      </c>
      <c r="B73" s="17" t="s">
        <v>81</v>
      </c>
      <c r="C73" s="18" t="s">
        <v>83</v>
      </c>
      <c r="D73" s="16" t="s">
        <v>523</v>
      </c>
      <c r="E73" s="16">
        <v>182</v>
      </c>
      <c r="F73" s="16" t="s">
        <v>524</v>
      </c>
      <c r="G73" s="16" t="s">
        <v>521</v>
      </c>
      <c r="H73" s="16" t="s">
        <v>525</v>
      </c>
      <c r="I73" s="16" t="s">
        <v>557</v>
      </c>
      <c r="J73" s="16" t="s">
        <v>88</v>
      </c>
      <c r="K73" s="21">
        <v>46290</v>
      </c>
    </row>
    <row r="74" ht="69" customHeight="1" spans="1:11" x14ac:dyDescent="0.25">
      <c r="A74" s="17" t="s">
        <v>80</v>
      </c>
      <c r="B74" s="17" t="s">
        <v>81</v>
      </c>
      <c r="C74" s="18" t="s">
        <v>83</v>
      </c>
      <c r="D74" s="16" t="s">
        <v>543</v>
      </c>
      <c r="E74" s="16">
        <v>3.86</v>
      </c>
      <c r="F74" s="16" t="s">
        <v>508</v>
      </c>
      <c r="G74" s="16" t="s">
        <v>527</v>
      </c>
      <c r="H74" s="16" t="s">
        <v>544</v>
      </c>
      <c r="I74" s="16" t="s">
        <v>558</v>
      </c>
      <c r="J74" s="16" t="s">
        <v>559</v>
      </c>
      <c r="K74" s="21">
        <v>46290</v>
      </c>
    </row>
    <row r="75" ht="69" customHeight="1" spans="1:11" x14ac:dyDescent="0.25">
      <c r="A75" s="17" t="s">
        <v>80</v>
      </c>
      <c r="B75" s="17" t="s">
        <v>81</v>
      </c>
      <c r="C75" s="18" t="s">
        <v>83</v>
      </c>
      <c r="D75" s="16" t="s">
        <v>526</v>
      </c>
      <c r="E75" s="16" t="s">
        <v>294</v>
      </c>
      <c r="F75" s="16"/>
      <c r="G75" s="16" t="s">
        <v>527</v>
      </c>
      <c r="H75" s="16"/>
      <c r="I75" s="16" t="s">
        <v>558</v>
      </c>
      <c r="J75" s="16" t="s">
        <v>559</v>
      </c>
      <c r="K75" s="21">
        <v>46290</v>
      </c>
    </row>
    <row r="76" ht="69" customHeight="1" spans="1:11" x14ac:dyDescent="0.25">
      <c r="A76" s="17" t="s">
        <v>80</v>
      </c>
      <c r="B76" s="17" t="s">
        <v>81</v>
      </c>
      <c r="C76" s="18" t="s">
        <v>83</v>
      </c>
      <c r="D76" s="16" t="s">
        <v>277</v>
      </c>
      <c r="E76" s="16" t="s">
        <v>309</v>
      </c>
      <c r="F76" s="16"/>
      <c r="G76" s="16" t="s">
        <v>528</v>
      </c>
      <c r="H76" s="16"/>
      <c r="I76" s="16" t="s">
        <v>556</v>
      </c>
      <c r="J76" s="16" t="s">
        <v>87</v>
      </c>
      <c r="K76" s="21">
        <v>46290</v>
      </c>
    </row>
    <row r="77" ht="69" customHeight="1" spans="1:11" x14ac:dyDescent="0.25">
      <c r="A77" s="17" t="s">
        <v>80</v>
      </c>
      <c r="B77" s="17" t="s">
        <v>81</v>
      </c>
      <c r="C77" s="18" t="s">
        <v>83</v>
      </c>
      <c r="D77" s="16" t="s">
        <v>278</v>
      </c>
      <c r="E77" s="16" t="s">
        <v>309</v>
      </c>
      <c r="F77" s="16"/>
      <c r="G77" s="16" t="s">
        <v>529</v>
      </c>
      <c r="H77" s="16"/>
      <c r="I77" s="16" t="s">
        <v>556</v>
      </c>
      <c r="J77" s="16" t="s">
        <v>87</v>
      </c>
      <c r="K77" s="21">
        <v>46290</v>
      </c>
    </row>
    <row r="78" ht="69" customHeight="1" spans="1:11" x14ac:dyDescent="0.25">
      <c r="A78" s="17" t="s">
        <v>80</v>
      </c>
      <c r="B78" s="17" t="s">
        <v>81</v>
      </c>
      <c r="C78" s="18" t="s">
        <v>83</v>
      </c>
      <c r="D78" s="16" t="s">
        <v>547</v>
      </c>
      <c r="E78" s="16" t="s">
        <v>310</v>
      </c>
      <c r="F78" s="16"/>
      <c r="G78" s="16" t="s">
        <v>527</v>
      </c>
      <c r="H78" s="16"/>
      <c r="I78" s="16" t="s">
        <v>558</v>
      </c>
      <c r="J78" s="16" t="s">
        <v>559</v>
      </c>
      <c r="K78" s="21">
        <v>46290</v>
      </c>
    </row>
    <row r="79" ht="69" customHeight="1" spans="1:11" x14ac:dyDescent="0.25">
      <c r="A79" s="17" t="s">
        <v>80</v>
      </c>
      <c r="B79" s="17" t="s">
        <v>81</v>
      </c>
      <c r="C79" s="18" t="s">
        <v>83</v>
      </c>
      <c r="D79" s="16" t="s">
        <v>530</v>
      </c>
      <c r="E79" s="16">
        <v>15</v>
      </c>
      <c r="F79" s="16" t="s">
        <v>531</v>
      </c>
      <c r="G79" s="16" t="s">
        <v>527</v>
      </c>
      <c r="H79" s="16"/>
      <c r="I79" s="16" t="s">
        <v>558</v>
      </c>
      <c r="J79" s="16" t="s">
        <v>559</v>
      </c>
      <c r="K79" s="21">
        <v>46290</v>
      </c>
    </row>
    <row r="80" ht="69" customHeight="1" spans="1:11" x14ac:dyDescent="0.25">
      <c r="A80" s="17" t="s">
        <v>80</v>
      </c>
      <c r="B80" s="17" t="s">
        <v>81</v>
      </c>
      <c r="C80" s="18" t="s">
        <v>83</v>
      </c>
      <c r="D80" s="16" t="s">
        <v>532</v>
      </c>
      <c r="E80" s="16">
        <v>18</v>
      </c>
      <c r="F80" s="16" t="s">
        <v>531</v>
      </c>
      <c r="G80" s="16" t="s">
        <v>527</v>
      </c>
      <c r="H80" s="16"/>
      <c r="I80" s="16" t="s">
        <v>558</v>
      </c>
      <c r="J80" s="16" t="s">
        <v>559</v>
      </c>
      <c r="K80" s="21">
        <v>46290</v>
      </c>
    </row>
    <row r="81" ht="69" customHeight="1" spans="1:11" x14ac:dyDescent="0.25">
      <c r="A81" s="17" t="s">
        <v>80</v>
      </c>
      <c r="B81" s="17" t="s">
        <v>81</v>
      </c>
      <c r="C81" s="18" t="s">
        <v>83</v>
      </c>
      <c r="D81" s="16" t="s">
        <v>548</v>
      </c>
      <c r="E81" s="16">
        <v>4500</v>
      </c>
      <c r="F81" s="16" t="s">
        <v>549</v>
      </c>
      <c r="G81" s="16" t="s">
        <v>527</v>
      </c>
      <c r="H81" s="16" t="s">
        <v>550</v>
      </c>
      <c r="I81" s="16" t="s">
        <v>558</v>
      </c>
      <c r="J81" s="16" t="s">
        <v>559</v>
      </c>
      <c r="K81" s="21">
        <v>46290</v>
      </c>
    </row>
    <row r="82" ht="69" customHeight="1" spans="1:11" x14ac:dyDescent="0.25">
      <c r="A82" s="17" t="s">
        <v>80</v>
      </c>
      <c r="B82" s="17" t="s">
        <v>81</v>
      </c>
      <c r="C82" s="18" t="s">
        <v>83</v>
      </c>
      <c r="D82" s="16" t="s">
        <v>534</v>
      </c>
      <c r="E82" s="16">
        <v>12</v>
      </c>
      <c r="F82" s="16" t="s">
        <v>535</v>
      </c>
      <c r="G82" s="16" t="s">
        <v>527</v>
      </c>
      <c r="H82" s="16"/>
      <c r="I82" s="16" t="s">
        <v>558</v>
      </c>
      <c r="J82" s="16" t="s">
        <v>559</v>
      </c>
      <c r="K82" s="21">
        <v>46290</v>
      </c>
    </row>
    <row r="83" ht="69" customHeight="1" spans="1:11" x14ac:dyDescent="0.25">
      <c r="A83" s="17" t="s">
        <v>80</v>
      </c>
      <c r="B83" s="17" t="s">
        <v>81</v>
      </c>
      <c r="C83" s="18" t="s">
        <v>83</v>
      </c>
      <c r="D83" s="16" t="s">
        <v>536</v>
      </c>
      <c r="E83" s="16">
        <v>6</v>
      </c>
      <c r="F83" s="16" t="s">
        <v>537</v>
      </c>
      <c r="G83" s="16" t="s">
        <v>527</v>
      </c>
      <c r="H83" s="16"/>
      <c r="I83" s="16" t="s">
        <v>558</v>
      </c>
      <c r="J83" s="16" t="s">
        <v>559</v>
      </c>
      <c r="K83" s="21">
        <v>46290</v>
      </c>
    </row>
    <row r="84" ht="69" customHeight="1" spans="1:11" x14ac:dyDescent="0.25">
      <c r="A84" s="17" t="s">
        <v>80</v>
      </c>
      <c r="B84" s="17" t="s">
        <v>81</v>
      </c>
      <c r="C84" s="18" t="s">
        <v>83</v>
      </c>
      <c r="D84" s="16" t="s">
        <v>538</v>
      </c>
      <c r="E84" s="16">
        <v>21</v>
      </c>
      <c r="F84" s="16" t="s">
        <v>535</v>
      </c>
      <c r="G84" s="16" t="s">
        <v>527</v>
      </c>
      <c r="H84" s="16"/>
      <c r="I84" s="16" t="s">
        <v>558</v>
      </c>
      <c r="J84" s="16" t="s">
        <v>559</v>
      </c>
      <c r="K84" s="21">
        <v>46290</v>
      </c>
    </row>
    <row r="85" ht="69" customHeight="1" spans="1:11" x14ac:dyDescent="0.25">
      <c r="A85" s="17" t="s">
        <v>80</v>
      </c>
      <c r="B85" s="17" t="s">
        <v>81</v>
      </c>
      <c r="C85" s="18" t="s">
        <v>83</v>
      </c>
      <c r="D85" s="16" t="s">
        <v>551</v>
      </c>
      <c r="E85" s="16" t="s">
        <v>304</v>
      </c>
      <c r="F85" s="16"/>
      <c r="G85" s="16" t="s">
        <v>527</v>
      </c>
      <c r="H85" s="16"/>
      <c r="I85" s="16" t="s">
        <v>558</v>
      </c>
      <c r="J85" s="16" t="s">
        <v>559</v>
      </c>
      <c r="K85" s="21">
        <v>46290</v>
      </c>
    </row>
    <row r="86" ht="69" customHeight="1" spans="1:11" x14ac:dyDescent="0.25">
      <c r="A86" s="17" t="s">
        <v>80</v>
      </c>
      <c r="B86" s="17" t="s">
        <v>81</v>
      </c>
      <c r="C86" s="18" t="s">
        <v>83</v>
      </c>
      <c r="D86" s="16" t="s">
        <v>539</v>
      </c>
      <c r="E86" s="16">
        <v>2024</v>
      </c>
      <c r="F86" s="16" t="s">
        <v>500</v>
      </c>
      <c r="G86" s="16" t="s">
        <v>527</v>
      </c>
      <c r="H86" s="16"/>
      <c r="I86" s="16" t="s">
        <v>558</v>
      </c>
      <c r="J86" s="16" t="s">
        <v>559</v>
      </c>
      <c r="K86" s="21">
        <v>46290</v>
      </c>
    </row>
    <row r="87" ht="69" customHeight="1" spans="1:11" x14ac:dyDescent="0.25">
      <c r="A87" s="17" t="s">
        <v>80</v>
      </c>
      <c r="B87" s="17" t="s">
        <v>81</v>
      </c>
      <c r="C87" s="18" t="s">
        <v>83</v>
      </c>
      <c r="D87" s="16" t="s">
        <v>540</v>
      </c>
      <c r="E87" s="16" t="s">
        <v>311</v>
      </c>
      <c r="F87" s="16"/>
      <c r="G87" s="16" t="s">
        <v>527</v>
      </c>
      <c r="H87" s="16"/>
      <c r="I87" s="16" t="s">
        <v>558</v>
      </c>
      <c r="J87" s="16" t="s">
        <v>559</v>
      </c>
      <c r="K87" s="21">
        <v>46290</v>
      </c>
    </row>
    <row r="88" ht="69" customHeight="1" spans="1:11" x14ac:dyDescent="0.25">
      <c r="A88" s="17" t="s">
        <v>80</v>
      </c>
      <c r="B88" s="17" t="s">
        <v>81</v>
      </c>
      <c r="C88" s="18" t="s">
        <v>83</v>
      </c>
      <c r="D88" s="16" t="s">
        <v>560</v>
      </c>
      <c r="E88" s="16">
        <v>13.49</v>
      </c>
      <c r="F88" s="16" t="s">
        <v>508</v>
      </c>
      <c r="G88" s="16" t="s">
        <v>554</v>
      </c>
      <c r="H88" s="16" t="s">
        <v>561</v>
      </c>
      <c r="I88" s="16" t="s">
        <v>558</v>
      </c>
      <c r="J88" s="16" t="s">
        <v>559</v>
      </c>
      <c r="K88" s="21">
        <v>46290</v>
      </c>
    </row>
    <row r="89" ht="69" customHeight="1" spans="1:11" x14ac:dyDescent="0.25">
      <c r="A89" s="17" t="s">
        <v>80</v>
      </c>
      <c r="B89" s="17" t="s">
        <v>81</v>
      </c>
      <c r="C89" s="18" t="s">
        <v>83</v>
      </c>
      <c r="D89" s="16" t="s">
        <v>552</v>
      </c>
      <c r="E89" s="16" t="s">
        <v>562</v>
      </c>
      <c r="F89" s="16"/>
      <c r="G89" s="16" t="s">
        <v>554</v>
      </c>
      <c r="H89" s="16" t="s">
        <v>563</v>
      </c>
      <c r="I89" s="16" t="s">
        <v>558</v>
      </c>
      <c r="J89" s="16" t="s">
        <v>559</v>
      </c>
      <c r="K89" s="21">
        <v>46290</v>
      </c>
    </row>
    <row r="90" ht="69" customHeight="1" spans="1:11" x14ac:dyDescent="0.25">
      <c r="A90" s="17" t="s">
        <v>89</v>
      </c>
      <c r="B90" s="17" t="s">
        <v>90</v>
      </c>
      <c r="C90" s="18" t="s">
        <v>91</v>
      </c>
      <c r="D90" s="16" t="s">
        <v>489</v>
      </c>
      <c r="E90" s="16" t="s">
        <v>89</v>
      </c>
      <c r="F90" s="16"/>
      <c r="G90" s="16" t="s">
        <v>490</v>
      </c>
      <c r="H90" s="16" t="s">
        <v>491</v>
      </c>
      <c r="I90" s="16" t="s">
        <v>89</v>
      </c>
      <c r="J90" s="16" t="s">
        <v>434</v>
      </c>
      <c r="K90" s="21">
        <v>46290</v>
      </c>
    </row>
    <row r="91" ht="69" customHeight="1" spans="1:11" x14ac:dyDescent="0.25">
      <c r="A91" s="17" t="s">
        <v>89</v>
      </c>
      <c r="B91" s="17" t="s">
        <v>90</v>
      </c>
      <c r="C91" s="18" t="s">
        <v>91</v>
      </c>
      <c r="D91" s="16" t="s">
        <v>492</v>
      </c>
      <c r="E91" s="16" t="s">
        <v>90</v>
      </c>
      <c r="F91" s="16"/>
      <c r="G91" s="16" t="s">
        <v>493</v>
      </c>
      <c r="H91" s="16" t="s">
        <v>494</v>
      </c>
      <c r="I91" s="16" t="s">
        <v>314</v>
      </c>
      <c r="J91" s="16" t="s">
        <v>96</v>
      </c>
      <c r="K91" s="21">
        <v>46290</v>
      </c>
    </row>
    <row r="92" ht="69" customHeight="1" spans="1:11" x14ac:dyDescent="0.25">
      <c r="A92" s="17" t="s">
        <v>89</v>
      </c>
      <c r="B92" s="17" t="s">
        <v>90</v>
      </c>
      <c r="C92" s="18" t="s">
        <v>91</v>
      </c>
      <c r="D92" s="16" t="s">
        <v>499</v>
      </c>
      <c r="E92" s="16">
        <v>2009</v>
      </c>
      <c r="F92" s="16" t="s">
        <v>500</v>
      </c>
      <c r="G92" s="16" t="s">
        <v>388</v>
      </c>
      <c r="H92" s="16" t="s">
        <v>501</v>
      </c>
      <c r="I92" s="16" t="s">
        <v>314</v>
      </c>
      <c r="J92" s="16" t="s">
        <v>96</v>
      </c>
      <c r="K92" s="21">
        <v>46290</v>
      </c>
    </row>
    <row r="93" ht="69" customHeight="1" spans="1:11" x14ac:dyDescent="0.25">
      <c r="A93" s="17" t="s">
        <v>89</v>
      </c>
      <c r="B93" s="17" t="s">
        <v>90</v>
      </c>
      <c r="C93" s="18" t="s">
        <v>91</v>
      </c>
      <c r="D93" s="16" t="s">
        <v>41</v>
      </c>
      <c r="E93" s="16" t="s">
        <v>91</v>
      </c>
      <c r="F93" s="16"/>
      <c r="G93" s="16" t="s">
        <v>502</v>
      </c>
      <c r="H93" s="16" t="s">
        <v>503</v>
      </c>
      <c r="I93" s="16" t="s">
        <v>564</v>
      </c>
      <c r="J93" s="16" t="s">
        <v>97</v>
      </c>
      <c r="K93" s="21">
        <v>46290</v>
      </c>
    </row>
    <row r="94" ht="69" customHeight="1" spans="1:11" x14ac:dyDescent="0.25">
      <c r="A94" s="17" t="s">
        <v>89</v>
      </c>
      <c r="B94" s="17" t="s">
        <v>90</v>
      </c>
      <c r="C94" s="18" t="s">
        <v>91</v>
      </c>
      <c r="D94" s="16" t="s">
        <v>42</v>
      </c>
      <c r="E94" s="16" t="s">
        <v>92</v>
      </c>
      <c r="F94" s="16"/>
      <c r="G94" s="16" t="s">
        <v>504</v>
      </c>
      <c r="H94" s="16" t="s">
        <v>94</v>
      </c>
      <c r="I94" s="16" t="s">
        <v>564</v>
      </c>
      <c r="J94" s="16" t="s">
        <v>97</v>
      </c>
      <c r="K94" s="21">
        <v>46290</v>
      </c>
    </row>
    <row r="95" ht="69" customHeight="1" spans="1:11" x14ac:dyDescent="0.25">
      <c r="A95" s="17" t="s">
        <v>89</v>
      </c>
      <c r="B95" s="17" t="s">
        <v>90</v>
      </c>
      <c r="C95" s="18" t="s">
        <v>91</v>
      </c>
      <c r="D95" s="16" t="s">
        <v>43</v>
      </c>
      <c r="E95" s="16" t="s">
        <v>93</v>
      </c>
      <c r="F95" s="16"/>
      <c r="G95" s="16" t="s">
        <v>504</v>
      </c>
      <c r="H95" s="16" t="s">
        <v>94</v>
      </c>
      <c r="I95" s="16" t="s">
        <v>565</v>
      </c>
      <c r="J95" s="16" t="s">
        <v>98</v>
      </c>
      <c r="K95" s="21">
        <v>46290</v>
      </c>
    </row>
    <row r="96" ht="69" customHeight="1" spans="1:11" x14ac:dyDescent="0.25">
      <c r="A96" s="17" t="s">
        <v>89</v>
      </c>
      <c r="B96" s="17" t="s">
        <v>90</v>
      </c>
      <c r="C96" s="18" t="s">
        <v>91</v>
      </c>
      <c r="D96" s="16" t="s">
        <v>505</v>
      </c>
      <c r="E96" s="16" t="s">
        <v>76</v>
      </c>
      <c r="F96" s="16"/>
      <c r="G96" s="16" t="s">
        <v>506</v>
      </c>
      <c r="H96" s="16" t="s">
        <v>94</v>
      </c>
      <c r="I96" s="16" t="s">
        <v>564</v>
      </c>
      <c r="J96" s="16" t="s">
        <v>97</v>
      </c>
      <c r="K96" s="21">
        <v>46290</v>
      </c>
    </row>
    <row r="97" ht="69" customHeight="1" spans="1:11" x14ac:dyDescent="0.25">
      <c r="A97" s="17" t="s">
        <v>89</v>
      </c>
      <c r="B97" s="17" t="s">
        <v>90</v>
      </c>
      <c r="C97" s="18" t="s">
        <v>91</v>
      </c>
      <c r="D97" s="16" t="s">
        <v>507</v>
      </c>
      <c r="E97" s="16">
        <v>85.5</v>
      </c>
      <c r="F97" s="16" t="s">
        <v>508</v>
      </c>
      <c r="G97" s="16" t="s">
        <v>509</v>
      </c>
      <c r="H97" s="16" t="s">
        <v>510</v>
      </c>
      <c r="I97" s="16" t="s">
        <v>314</v>
      </c>
      <c r="J97" s="16" t="s">
        <v>96</v>
      </c>
      <c r="K97" s="21">
        <v>46290</v>
      </c>
    </row>
    <row r="98" ht="69" customHeight="1" spans="1:11" x14ac:dyDescent="0.25">
      <c r="A98" s="17" t="s">
        <v>89</v>
      </c>
      <c r="B98" s="17" t="s">
        <v>90</v>
      </c>
      <c r="C98" s="18" t="s">
        <v>91</v>
      </c>
      <c r="D98" s="16" t="s">
        <v>511</v>
      </c>
      <c r="E98" s="16">
        <v>14.2</v>
      </c>
      <c r="F98" s="16" t="s">
        <v>508</v>
      </c>
      <c r="G98" s="16" t="s">
        <v>512</v>
      </c>
      <c r="H98" s="16" t="s">
        <v>513</v>
      </c>
      <c r="I98" s="16" t="s">
        <v>314</v>
      </c>
      <c r="J98" s="16" t="s">
        <v>96</v>
      </c>
      <c r="K98" s="21">
        <v>46290</v>
      </c>
    </row>
    <row r="99" ht="69" customHeight="1" spans="1:11" x14ac:dyDescent="0.25">
      <c r="A99" s="17" t="s">
        <v>89</v>
      </c>
      <c r="B99" s="17" t="s">
        <v>90</v>
      </c>
      <c r="C99" s="18" t="s">
        <v>91</v>
      </c>
      <c r="D99" s="16" t="s">
        <v>514</v>
      </c>
      <c r="E99" s="16">
        <v>2822</v>
      </c>
      <c r="F99" s="16" t="s">
        <v>515</v>
      </c>
      <c r="G99" s="16" t="s">
        <v>516</v>
      </c>
      <c r="H99" s="16" t="s">
        <v>517</v>
      </c>
      <c r="I99" s="16" t="s">
        <v>564</v>
      </c>
      <c r="J99" s="16" t="s">
        <v>97</v>
      </c>
      <c r="K99" s="21">
        <v>46290</v>
      </c>
    </row>
    <row r="100" ht="69" customHeight="1" spans="1:11" x14ac:dyDescent="0.25">
      <c r="A100" s="17" t="s">
        <v>89</v>
      </c>
      <c r="B100" s="17" t="s">
        <v>90</v>
      </c>
      <c r="C100" s="18" t="s">
        <v>91</v>
      </c>
      <c r="D100" s="16" t="s">
        <v>518</v>
      </c>
      <c r="E100" s="16">
        <v>85.43</v>
      </c>
      <c r="F100" s="16" t="s">
        <v>508</v>
      </c>
      <c r="G100" s="16" t="s">
        <v>519</v>
      </c>
      <c r="H100" s="16" t="s">
        <v>95</v>
      </c>
      <c r="I100" s="16" t="s">
        <v>564</v>
      </c>
      <c r="J100" s="16" t="s">
        <v>97</v>
      </c>
      <c r="K100" s="21">
        <v>46290</v>
      </c>
    </row>
    <row r="101" ht="69" customHeight="1" spans="1:11" x14ac:dyDescent="0.25">
      <c r="A101" s="17" t="s">
        <v>89</v>
      </c>
      <c r="B101" s="17" t="s">
        <v>90</v>
      </c>
      <c r="C101" s="18" t="s">
        <v>91</v>
      </c>
      <c r="D101" s="16" t="s">
        <v>520</v>
      </c>
      <c r="E101" s="16">
        <v>13.8</v>
      </c>
      <c r="F101" s="16" t="s">
        <v>508</v>
      </c>
      <c r="G101" s="16" t="s">
        <v>519</v>
      </c>
      <c r="H101" s="16" t="s">
        <v>95</v>
      </c>
      <c r="I101" s="16" t="s">
        <v>564</v>
      </c>
      <c r="J101" s="16" t="s">
        <v>97</v>
      </c>
      <c r="K101" s="21">
        <v>46290</v>
      </c>
    </row>
    <row r="102" ht="69" customHeight="1" spans="1:11" x14ac:dyDescent="0.25">
      <c r="A102" s="17" t="s">
        <v>89</v>
      </c>
      <c r="B102" s="17" t="s">
        <v>90</v>
      </c>
      <c r="C102" s="18" t="s">
        <v>91</v>
      </c>
      <c r="D102" s="16" t="s">
        <v>516</v>
      </c>
      <c r="E102" s="16">
        <v>2822</v>
      </c>
      <c r="F102" s="16" t="s">
        <v>515</v>
      </c>
      <c r="G102" s="16" t="s">
        <v>521</v>
      </c>
      <c r="H102" s="16" t="s">
        <v>522</v>
      </c>
      <c r="I102" s="16" t="s">
        <v>564</v>
      </c>
      <c r="J102" s="16" t="s">
        <v>97</v>
      </c>
      <c r="K102" s="21">
        <v>46290</v>
      </c>
    </row>
    <row r="103" ht="69" customHeight="1" spans="1:11" x14ac:dyDescent="0.25">
      <c r="A103" s="17" t="s">
        <v>89</v>
      </c>
      <c r="B103" s="17" t="s">
        <v>90</v>
      </c>
      <c r="C103" s="18" t="s">
        <v>91</v>
      </c>
      <c r="D103" s="16" t="s">
        <v>277</v>
      </c>
      <c r="E103" s="16" t="s">
        <v>296</v>
      </c>
      <c r="F103" s="16"/>
      <c r="G103" s="16" t="s">
        <v>528</v>
      </c>
      <c r="H103" s="16"/>
      <c r="I103" s="16" t="s">
        <v>314</v>
      </c>
      <c r="J103" s="16" t="s">
        <v>96</v>
      </c>
      <c r="K103" s="21">
        <v>46290</v>
      </c>
    </row>
    <row r="104" ht="69" customHeight="1" spans="1:11" x14ac:dyDescent="0.25">
      <c r="A104" s="17" t="s">
        <v>89</v>
      </c>
      <c r="B104" s="17" t="s">
        <v>90</v>
      </c>
      <c r="C104" s="18" t="s">
        <v>91</v>
      </c>
      <c r="D104" s="16" t="s">
        <v>278</v>
      </c>
      <c r="E104" s="16" t="s">
        <v>296</v>
      </c>
      <c r="F104" s="16"/>
      <c r="G104" s="16" t="s">
        <v>529</v>
      </c>
      <c r="H104" s="16"/>
      <c r="I104" s="16" t="s">
        <v>314</v>
      </c>
      <c r="J104" s="16" t="s">
        <v>96</v>
      </c>
      <c r="K104" s="21">
        <v>46290</v>
      </c>
    </row>
    <row r="105" ht="69" customHeight="1" spans="1:11" x14ac:dyDescent="0.25">
      <c r="A105" s="17" t="s">
        <v>89</v>
      </c>
      <c r="B105" s="17" t="s">
        <v>90</v>
      </c>
      <c r="C105" s="18" t="s">
        <v>91</v>
      </c>
      <c r="D105" s="16" t="s">
        <v>548</v>
      </c>
      <c r="E105" s="16">
        <v>5500</v>
      </c>
      <c r="F105" s="16" t="s">
        <v>549</v>
      </c>
      <c r="G105" s="16" t="s">
        <v>527</v>
      </c>
      <c r="H105" s="16" t="s">
        <v>566</v>
      </c>
      <c r="I105" s="16" t="s">
        <v>314</v>
      </c>
      <c r="J105" s="16" t="s">
        <v>96</v>
      </c>
      <c r="K105" s="21">
        <v>46290</v>
      </c>
    </row>
    <row r="106" ht="69" customHeight="1" spans="1:11" x14ac:dyDescent="0.25">
      <c r="A106" s="17" t="s">
        <v>99</v>
      </c>
      <c r="B106" s="17" t="s">
        <v>100</v>
      </c>
      <c r="C106" s="18" t="s">
        <v>101</v>
      </c>
      <c r="D106" s="16" t="s">
        <v>489</v>
      </c>
      <c r="E106" s="16" t="s">
        <v>99</v>
      </c>
      <c r="F106" s="16"/>
      <c r="G106" s="16" t="s">
        <v>490</v>
      </c>
      <c r="H106" s="16" t="s">
        <v>491</v>
      </c>
      <c r="I106" s="16" t="s">
        <v>99</v>
      </c>
      <c r="J106" s="16" t="s">
        <v>437</v>
      </c>
      <c r="K106" s="21">
        <v>46290</v>
      </c>
    </row>
    <row r="107" ht="69" customHeight="1" spans="1:11" x14ac:dyDescent="0.25">
      <c r="A107" s="17" t="s">
        <v>99</v>
      </c>
      <c r="B107" s="17" t="s">
        <v>100</v>
      </c>
      <c r="C107" s="18" t="s">
        <v>101</v>
      </c>
      <c r="D107" s="16" t="s">
        <v>492</v>
      </c>
      <c r="E107" s="16" t="s">
        <v>100</v>
      </c>
      <c r="F107" s="16"/>
      <c r="G107" s="16" t="s">
        <v>493</v>
      </c>
      <c r="H107" s="16" t="s">
        <v>494</v>
      </c>
      <c r="I107" s="16" t="s">
        <v>567</v>
      </c>
      <c r="J107" s="16" t="s">
        <v>106</v>
      </c>
      <c r="K107" s="21">
        <v>46290</v>
      </c>
    </row>
    <row r="108" ht="69" customHeight="1" spans="1:11" x14ac:dyDescent="0.25">
      <c r="A108" s="17" t="s">
        <v>99</v>
      </c>
      <c r="B108" s="17" t="s">
        <v>100</v>
      </c>
      <c r="C108" s="18" t="s">
        <v>101</v>
      </c>
      <c r="D108" s="16" t="s">
        <v>499</v>
      </c>
      <c r="E108" s="16">
        <v>2010</v>
      </c>
      <c r="F108" s="16" t="s">
        <v>500</v>
      </c>
      <c r="G108" s="16" t="s">
        <v>388</v>
      </c>
      <c r="H108" s="16" t="s">
        <v>501</v>
      </c>
      <c r="I108" s="16" t="s">
        <v>567</v>
      </c>
      <c r="J108" s="16" t="s">
        <v>106</v>
      </c>
      <c r="K108" s="21">
        <v>46290</v>
      </c>
    </row>
    <row r="109" ht="69" customHeight="1" spans="1:11" x14ac:dyDescent="0.25">
      <c r="A109" s="17" t="s">
        <v>99</v>
      </c>
      <c r="B109" s="17" t="s">
        <v>100</v>
      </c>
      <c r="C109" s="18" t="s">
        <v>101</v>
      </c>
      <c r="D109" s="16" t="s">
        <v>41</v>
      </c>
      <c r="E109" s="16" t="s">
        <v>101</v>
      </c>
      <c r="F109" s="16"/>
      <c r="G109" s="16" t="s">
        <v>502</v>
      </c>
      <c r="H109" s="16" t="s">
        <v>503</v>
      </c>
      <c r="I109" s="16" t="s">
        <v>568</v>
      </c>
      <c r="J109" s="16" t="s">
        <v>107</v>
      </c>
      <c r="K109" s="21">
        <v>46290</v>
      </c>
    </row>
    <row r="110" ht="69" customHeight="1" spans="1:11" x14ac:dyDescent="0.25">
      <c r="A110" s="17" t="s">
        <v>99</v>
      </c>
      <c r="B110" s="17" t="s">
        <v>100</v>
      </c>
      <c r="C110" s="18" t="s">
        <v>101</v>
      </c>
      <c r="D110" s="16" t="s">
        <v>42</v>
      </c>
      <c r="E110" s="16" t="s">
        <v>102</v>
      </c>
      <c r="F110" s="16"/>
      <c r="G110" s="16" t="s">
        <v>504</v>
      </c>
      <c r="H110" s="16" t="s">
        <v>66</v>
      </c>
      <c r="I110" s="16" t="s">
        <v>568</v>
      </c>
      <c r="J110" s="16" t="s">
        <v>107</v>
      </c>
      <c r="K110" s="21">
        <v>46290</v>
      </c>
    </row>
    <row r="111" ht="69" customHeight="1" spans="1:11" x14ac:dyDescent="0.25">
      <c r="A111" s="17" t="s">
        <v>99</v>
      </c>
      <c r="B111" s="17" t="s">
        <v>100</v>
      </c>
      <c r="C111" s="18" t="s">
        <v>101</v>
      </c>
      <c r="D111" s="16" t="s">
        <v>43</v>
      </c>
      <c r="E111" s="16" t="s">
        <v>103</v>
      </c>
      <c r="F111" s="16"/>
      <c r="G111" s="16" t="s">
        <v>504</v>
      </c>
      <c r="H111" s="16" t="s">
        <v>66</v>
      </c>
      <c r="I111" s="16" t="s">
        <v>568</v>
      </c>
      <c r="J111" s="16" t="s">
        <v>107</v>
      </c>
      <c r="K111" s="21">
        <v>46290</v>
      </c>
    </row>
    <row r="112" ht="69" customHeight="1" spans="1:11" x14ac:dyDescent="0.25">
      <c r="A112" s="17" t="s">
        <v>99</v>
      </c>
      <c r="B112" s="17" t="s">
        <v>100</v>
      </c>
      <c r="C112" s="18" t="s">
        <v>101</v>
      </c>
      <c r="D112" s="16" t="s">
        <v>505</v>
      </c>
      <c r="E112" s="16" t="s">
        <v>104</v>
      </c>
      <c r="F112" s="16"/>
      <c r="G112" s="16" t="s">
        <v>506</v>
      </c>
      <c r="H112" s="16" t="s">
        <v>66</v>
      </c>
      <c r="I112" s="16" t="s">
        <v>568</v>
      </c>
      <c r="J112" s="16" t="s">
        <v>107</v>
      </c>
      <c r="K112" s="21">
        <v>46290</v>
      </c>
    </row>
    <row r="113" ht="69" customHeight="1" spans="1:11" x14ac:dyDescent="0.25">
      <c r="A113" s="17" t="s">
        <v>99</v>
      </c>
      <c r="B113" s="17" t="s">
        <v>100</v>
      </c>
      <c r="C113" s="18" t="s">
        <v>101</v>
      </c>
      <c r="D113" s="16" t="s">
        <v>507</v>
      </c>
      <c r="E113" s="16">
        <v>85.5</v>
      </c>
      <c r="F113" s="16" t="s">
        <v>508</v>
      </c>
      <c r="G113" s="16" t="s">
        <v>509</v>
      </c>
      <c r="H113" s="16" t="s">
        <v>510</v>
      </c>
      <c r="I113" s="16" t="s">
        <v>567</v>
      </c>
      <c r="J113" s="16" t="s">
        <v>106</v>
      </c>
      <c r="K113" s="21">
        <v>46290</v>
      </c>
    </row>
    <row r="114" ht="69" customHeight="1" spans="1:11" x14ac:dyDescent="0.25">
      <c r="A114" s="17" t="s">
        <v>99</v>
      </c>
      <c r="B114" s="17" t="s">
        <v>100</v>
      </c>
      <c r="C114" s="18" t="s">
        <v>101</v>
      </c>
      <c r="D114" s="16" t="s">
        <v>511</v>
      </c>
      <c r="E114" s="16">
        <v>14.2</v>
      </c>
      <c r="F114" s="16" t="s">
        <v>508</v>
      </c>
      <c r="G114" s="16" t="s">
        <v>512</v>
      </c>
      <c r="H114" s="16" t="s">
        <v>513</v>
      </c>
      <c r="I114" s="16" t="s">
        <v>567</v>
      </c>
      <c r="J114" s="16" t="s">
        <v>106</v>
      </c>
      <c r="K114" s="21">
        <v>46290</v>
      </c>
    </row>
    <row r="115" ht="69" customHeight="1" spans="1:11" x14ac:dyDescent="0.25">
      <c r="A115" s="17" t="s">
        <v>99</v>
      </c>
      <c r="B115" s="17" t="s">
        <v>100</v>
      </c>
      <c r="C115" s="18" t="s">
        <v>101</v>
      </c>
      <c r="D115" s="16" t="s">
        <v>514</v>
      </c>
      <c r="E115" s="16">
        <v>2867</v>
      </c>
      <c r="F115" s="16" t="s">
        <v>515</v>
      </c>
      <c r="G115" s="16" t="s">
        <v>516</v>
      </c>
      <c r="H115" s="16" t="s">
        <v>517</v>
      </c>
      <c r="I115" s="16" t="s">
        <v>568</v>
      </c>
      <c r="J115" s="16" t="s">
        <v>107</v>
      </c>
      <c r="K115" s="21">
        <v>46290</v>
      </c>
    </row>
    <row r="116" ht="69" customHeight="1" spans="1:11" x14ac:dyDescent="0.25">
      <c r="A116" s="17" t="s">
        <v>99</v>
      </c>
      <c r="B116" s="17" t="s">
        <v>100</v>
      </c>
      <c r="C116" s="18" t="s">
        <v>101</v>
      </c>
      <c r="D116" s="16" t="s">
        <v>518</v>
      </c>
      <c r="E116" s="16">
        <v>85.43</v>
      </c>
      <c r="F116" s="16" t="s">
        <v>508</v>
      </c>
      <c r="G116" s="16" t="s">
        <v>519</v>
      </c>
      <c r="H116" s="16" t="s">
        <v>105</v>
      </c>
      <c r="I116" s="16" t="s">
        <v>568</v>
      </c>
      <c r="J116" s="16" t="s">
        <v>107</v>
      </c>
      <c r="K116" s="21">
        <v>46290</v>
      </c>
    </row>
    <row r="117" ht="69" customHeight="1" spans="1:11" x14ac:dyDescent="0.25">
      <c r="A117" s="17" t="s">
        <v>99</v>
      </c>
      <c r="B117" s="17" t="s">
        <v>100</v>
      </c>
      <c r="C117" s="18" t="s">
        <v>101</v>
      </c>
      <c r="D117" s="16" t="s">
        <v>520</v>
      </c>
      <c r="E117" s="16">
        <v>14.24</v>
      </c>
      <c r="F117" s="16" t="s">
        <v>508</v>
      </c>
      <c r="G117" s="16" t="s">
        <v>519</v>
      </c>
      <c r="H117" s="16" t="s">
        <v>105</v>
      </c>
      <c r="I117" s="16" t="s">
        <v>568</v>
      </c>
      <c r="J117" s="16" t="s">
        <v>107</v>
      </c>
      <c r="K117" s="21">
        <v>46290</v>
      </c>
    </row>
    <row r="118" ht="69" customHeight="1" spans="1:11" x14ac:dyDescent="0.25">
      <c r="A118" s="17" t="s">
        <v>99</v>
      </c>
      <c r="B118" s="17" t="s">
        <v>100</v>
      </c>
      <c r="C118" s="18" t="s">
        <v>101</v>
      </c>
      <c r="D118" s="16" t="s">
        <v>516</v>
      </c>
      <c r="E118" s="16">
        <v>2867</v>
      </c>
      <c r="F118" s="16" t="s">
        <v>515</v>
      </c>
      <c r="G118" s="16" t="s">
        <v>521</v>
      </c>
      <c r="H118" s="16" t="s">
        <v>522</v>
      </c>
      <c r="I118" s="16" t="s">
        <v>568</v>
      </c>
      <c r="J118" s="16" t="s">
        <v>107</v>
      </c>
      <c r="K118" s="21">
        <v>46290</v>
      </c>
    </row>
    <row r="119" ht="69" customHeight="1" spans="1:11" x14ac:dyDescent="0.25">
      <c r="A119" s="17" t="s">
        <v>99</v>
      </c>
      <c r="B119" s="17" t="s">
        <v>100</v>
      </c>
      <c r="C119" s="18" t="s">
        <v>101</v>
      </c>
      <c r="D119" s="16" t="s">
        <v>543</v>
      </c>
      <c r="E119" s="16">
        <v>3.95</v>
      </c>
      <c r="F119" s="16" t="s">
        <v>508</v>
      </c>
      <c r="G119" s="16" t="s">
        <v>527</v>
      </c>
      <c r="H119" s="16" t="s">
        <v>544</v>
      </c>
      <c r="I119" s="16" t="s">
        <v>569</v>
      </c>
      <c r="J119" s="16" t="s">
        <v>570</v>
      </c>
      <c r="K119" s="21">
        <v>46290</v>
      </c>
    </row>
    <row r="120" ht="69" customHeight="1" spans="1:11" x14ac:dyDescent="0.25">
      <c r="A120" s="17" t="s">
        <v>99</v>
      </c>
      <c r="B120" s="17" t="s">
        <v>100</v>
      </c>
      <c r="C120" s="18" t="s">
        <v>101</v>
      </c>
      <c r="D120" s="16" t="s">
        <v>526</v>
      </c>
      <c r="E120" s="16" t="s">
        <v>294</v>
      </c>
      <c r="F120" s="16"/>
      <c r="G120" s="16" t="s">
        <v>527</v>
      </c>
      <c r="H120" s="16"/>
      <c r="I120" s="16" t="s">
        <v>569</v>
      </c>
      <c r="J120" s="16" t="s">
        <v>570</v>
      </c>
      <c r="K120" s="21">
        <v>46290</v>
      </c>
    </row>
    <row r="121" ht="69" customHeight="1" spans="1:11" x14ac:dyDescent="0.25">
      <c r="A121" s="17" t="s">
        <v>99</v>
      </c>
      <c r="B121" s="17" t="s">
        <v>100</v>
      </c>
      <c r="C121" s="18" t="s">
        <v>101</v>
      </c>
      <c r="D121" s="16" t="s">
        <v>571</v>
      </c>
      <c r="E121" s="16" t="s">
        <v>315</v>
      </c>
      <c r="F121" s="16"/>
      <c r="G121" s="16" t="s">
        <v>527</v>
      </c>
      <c r="H121" s="16"/>
      <c r="I121" s="16" t="s">
        <v>569</v>
      </c>
      <c r="J121" s="16" t="s">
        <v>570</v>
      </c>
      <c r="K121" s="21">
        <v>46290</v>
      </c>
    </row>
    <row r="122" ht="69" customHeight="1" spans="1:11" x14ac:dyDescent="0.25">
      <c r="A122" s="17" t="s">
        <v>99</v>
      </c>
      <c r="B122" s="17" t="s">
        <v>100</v>
      </c>
      <c r="C122" s="18" t="s">
        <v>101</v>
      </c>
      <c r="D122" s="16" t="s">
        <v>276</v>
      </c>
      <c r="E122" s="16" t="s">
        <v>316</v>
      </c>
      <c r="F122" s="16"/>
      <c r="G122" s="16" t="s">
        <v>527</v>
      </c>
      <c r="H122" s="16"/>
      <c r="I122" s="16" t="s">
        <v>569</v>
      </c>
      <c r="J122" s="16" t="s">
        <v>570</v>
      </c>
      <c r="K122" s="21">
        <v>46290</v>
      </c>
    </row>
    <row r="123" ht="69" customHeight="1" spans="1:11" x14ac:dyDescent="0.25">
      <c r="A123" s="17" t="s">
        <v>99</v>
      </c>
      <c r="B123" s="17" t="s">
        <v>100</v>
      </c>
      <c r="C123" s="18" t="s">
        <v>101</v>
      </c>
      <c r="D123" s="16" t="s">
        <v>277</v>
      </c>
      <c r="E123" s="16" t="s">
        <v>317</v>
      </c>
      <c r="F123" s="16"/>
      <c r="G123" s="16" t="s">
        <v>528</v>
      </c>
      <c r="H123" s="16"/>
      <c r="I123" s="16" t="s">
        <v>567</v>
      </c>
      <c r="J123" s="16" t="s">
        <v>106</v>
      </c>
      <c r="K123" s="21">
        <v>46290</v>
      </c>
    </row>
    <row r="124" ht="69" customHeight="1" spans="1:11" x14ac:dyDescent="0.25">
      <c r="A124" s="17" t="s">
        <v>99</v>
      </c>
      <c r="B124" s="17" t="s">
        <v>100</v>
      </c>
      <c r="C124" s="18" t="s">
        <v>101</v>
      </c>
      <c r="D124" s="16" t="s">
        <v>278</v>
      </c>
      <c r="E124" s="16" t="s">
        <v>318</v>
      </c>
      <c r="F124" s="16"/>
      <c r="G124" s="16" t="s">
        <v>529</v>
      </c>
      <c r="H124" s="16"/>
      <c r="I124" s="16" t="s">
        <v>567</v>
      </c>
      <c r="J124" s="16" t="s">
        <v>106</v>
      </c>
      <c r="K124" s="21">
        <v>46290</v>
      </c>
    </row>
    <row r="125" ht="69" customHeight="1" spans="1:11" x14ac:dyDescent="0.25">
      <c r="A125" s="17" t="s">
        <v>99</v>
      </c>
      <c r="B125" s="17" t="s">
        <v>100</v>
      </c>
      <c r="C125" s="18" t="s">
        <v>101</v>
      </c>
      <c r="D125" s="16" t="s">
        <v>530</v>
      </c>
      <c r="E125" s="16">
        <v>14</v>
      </c>
      <c r="F125" s="16" t="s">
        <v>531</v>
      </c>
      <c r="G125" s="16" t="s">
        <v>527</v>
      </c>
      <c r="H125" s="16"/>
      <c r="I125" s="16" t="s">
        <v>569</v>
      </c>
      <c r="J125" s="16" t="s">
        <v>570</v>
      </c>
      <c r="K125" s="21">
        <v>46290</v>
      </c>
    </row>
    <row r="126" ht="69" customHeight="1" spans="1:11" x14ac:dyDescent="0.25">
      <c r="A126" s="17" t="s">
        <v>99</v>
      </c>
      <c r="B126" s="17" t="s">
        <v>100</v>
      </c>
      <c r="C126" s="18" t="s">
        <v>101</v>
      </c>
      <c r="D126" s="16" t="s">
        <v>534</v>
      </c>
      <c r="E126" s="16">
        <v>12</v>
      </c>
      <c r="F126" s="16" t="s">
        <v>535</v>
      </c>
      <c r="G126" s="16" t="s">
        <v>527</v>
      </c>
      <c r="H126" s="16"/>
      <c r="I126" s="16" t="s">
        <v>569</v>
      </c>
      <c r="J126" s="16" t="s">
        <v>570</v>
      </c>
      <c r="K126" s="21">
        <v>46290</v>
      </c>
    </row>
    <row r="127" ht="69" customHeight="1" spans="1:11" x14ac:dyDescent="0.25">
      <c r="A127" s="17" t="s">
        <v>99</v>
      </c>
      <c r="B127" s="17" t="s">
        <v>100</v>
      </c>
      <c r="C127" s="18" t="s">
        <v>101</v>
      </c>
      <c r="D127" s="16" t="s">
        <v>536</v>
      </c>
      <c r="E127" s="16">
        <v>8</v>
      </c>
      <c r="F127" s="16" t="s">
        <v>537</v>
      </c>
      <c r="G127" s="16" t="s">
        <v>527</v>
      </c>
      <c r="H127" s="16"/>
      <c r="I127" s="16" t="s">
        <v>569</v>
      </c>
      <c r="J127" s="16" t="s">
        <v>570</v>
      </c>
      <c r="K127" s="21">
        <v>46290</v>
      </c>
    </row>
    <row r="128" ht="69" customHeight="1" spans="1:11" x14ac:dyDescent="0.25">
      <c r="A128" s="17" t="s">
        <v>99</v>
      </c>
      <c r="B128" s="17" t="s">
        <v>100</v>
      </c>
      <c r="C128" s="18" t="s">
        <v>101</v>
      </c>
      <c r="D128" s="16" t="s">
        <v>538</v>
      </c>
      <c r="E128" s="16">
        <v>29</v>
      </c>
      <c r="F128" s="16" t="s">
        <v>535</v>
      </c>
      <c r="G128" s="16" t="s">
        <v>527</v>
      </c>
      <c r="H128" s="16"/>
      <c r="I128" s="16" t="s">
        <v>569</v>
      </c>
      <c r="J128" s="16" t="s">
        <v>570</v>
      </c>
      <c r="K128" s="21">
        <v>46290</v>
      </c>
    </row>
    <row r="129" ht="69" customHeight="1" spans="1:11" x14ac:dyDescent="0.25">
      <c r="A129" s="17" t="s">
        <v>99</v>
      </c>
      <c r="B129" s="17" t="s">
        <v>100</v>
      </c>
      <c r="C129" s="18" t="s">
        <v>101</v>
      </c>
      <c r="D129" s="16" t="s">
        <v>539</v>
      </c>
      <c r="E129" s="16">
        <v>2025</v>
      </c>
      <c r="F129" s="16" t="s">
        <v>500</v>
      </c>
      <c r="G129" s="16" t="s">
        <v>527</v>
      </c>
      <c r="H129" s="16"/>
      <c r="I129" s="16" t="s">
        <v>569</v>
      </c>
      <c r="J129" s="16" t="s">
        <v>570</v>
      </c>
      <c r="K129" s="21">
        <v>46290</v>
      </c>
    </row>
    <row r="130" ht="69" customHeight="1" spans="1:11" x14ac:dyDescent="0.25">
      <c r="A130" s="17" t="s">
        <v>99</v>
      </c>
      <c r="B130" s="17" t="s">
        <v>100</v>
      </c>
      <c r="C130" s="18" t="s">
        <v>101</v>
      </c>
      <c r="D130" s="16" t="s">
        <v>560</v>
      </c>
      <c r="E130" s="16">
        <v>13.8</v>
      </c>
      <c r="F130" s="16" t="s">
        <v>508</v>
      </c>
      <c r="G130" s="16" t="s">
        <v>554</v>
      </c>
      <c r="H130" s="16" t="s">
        <v>572</v>
      </c>
      <c r="I130" s="16" t="s">
        <v>569</v>
      </c>
      <c r="J130" s="16" t="s">
        <v>570</v>
      </c>
      <c r="K130" s="21">
        <v>46290</v>
      </c>
    </row>
    <row r="131" ht="69" customHeight="1" spans="1:11" x14ac:dyDescent="0.25">
      <c r="A131" s="17" t="s">
        <v>108</v>
      </c>
      <c r="B131" s="17" t="s">
        <v>109</v>
      </c>
      <c r="C131" s="18" t="s">
        <v>111</v>
      </c>
      <c r="D131" s="16" t="s">
        <v>489</v>
      </c>
      <c r="E131" s="16" t="s">
        <v>108</v>
      </c>
      <c r="F131" s="16"/>
      <c r="G131" s="16" t="s">
        <v>490</v>
      </c>
      <c r="H131" s="16" t="s">
        <v>491</v>
      </c>
      <c r="I131" s="16" t="s">
        <v>108</v>
      </c>
      <c r="J131" s="16" t="s">
        <v>440</v>
      </c>
      <c r="K131" s="21">
        <v>46290</v>
      </c>
    </row>
    <row r="132" ht="69" customHeight="1" spans="1:11" x14ac:dyDescent="0.25">
      <c r="A132" s="17" t="s">
        <v>108</v>
      </c>
      <c r="B132" s="17" t="s">
        <v>109</v>
      </c>
      <c r="C132" s="18" t="s">
        <v>111</v>
      </c>
      <c r="D132" s="16" t="s">
        <v>492</v>
      </c>
      <c r="E132" s="16" t="s">
        <v>109</v>
      </c>
      <c r="F132" s="16"/>
      <c r="G132" s="16" t="s">
        <v>493</v>
      </c>
      <c r="H132" s="16" t="s">
        <v>494</v>
      </c>
      <c r="I132" s="16" t="s">
        <v>573</v>
      </c>
      <c r="J132" s="16" t="s">
        <v>116</v>
      </c>
      <c r="K132" s="21">
        <v>46290</v>
      </c>
    </row>
    <row r="133" ht="69" customHeight="1" spans="1:11" x14ac:dyDescent="0.25">
      <c r="A133" s="17" t="s">
        <v>108</v>
      </c>
      <c r="B133" s="17" t="s">
        <v>109</v>
      </c>
      <c r="C133" s="18" t="s">
        <v>111</v>
      </c>
      <c r="D133" s="16" t="s">
        <v>38</v>
      </c>
      <c r="E133" s="16" t="s">
        <v>110</v>
      </c>
      <c r="F133" s="16"/>
      <c r="G133" s="16" t="s">
        <v>496</v>
      </c>
      <c r="H133" s="16" t="s">
        <v>497</v>
      </c>
      <c r="I133" s="16" t="s">
        <v>574</v>
      </c>
      <c r="J133" s="16" t="s">
        <v>117</v>
      </c>
      <c r="K133" s="21">
        <v>46290</v>
      </c>
    </row>
    <row r="134" ht="69" customHeight="1" spans="1:11" x14ac:dyDescent="0.25">
      <c r="A134" s="17" t="s">
        <v>108</v>
      </c>
      <c r="B134" s="17" t="s">
        <v>109</v>
      </c>
      <c r="C134" s="18" t="s">
        <v>111</v>
      </c>
      <c r="D134" s="16" t="s">
        <v>499</v>
      </c>
      <c r="E134" s="16">
        <v>2010</v>
      </c>
      <c r="F134" s="16" t="s">
        <v>500</v>
      </c>
      <c r="G134" s="16" t="s">
        <v>388</v>
      </c>
      <c r="H134" s="16" t="s">
        <v>501</v>
      </c>
      <c r="I134" s="16" t="s">
        <v>573</v>
      </c>
      <c r="J134" s="16" t="s">
        <v>116</v>
      </c>
      <c r="K134" s="21">
        <v>46290</v>
      </c>
    </row>
    <row r="135" ht="69" customHeight="1" spans="1:11" x14ac:dyDescent="0.25">
      <c r="A135" s="17" t="s">
        <v>108</v>
      </c>
      <c r="B135" s="17" t="s">
        <v>109</v>
      </c>
      <c r="C135" s="18" t="s">
        <v>111</v>
      </c>
      <c r="D135" s="16" t="s">
        <v>41</v>
      </c>
      <c r="E135" s="16" t="s">
        <v>111</v>
      </c>
      <c r="F135" s="16"/>
      <c r="G135" s="16" t="s">
        <v>502</v>
      </c>
      <c r="H135" s="16" t="s">
        <v>503</v>
      </c>
      <c r="I135" s="16" t="s">
        <v>574</v>
      </c>
      <c r="J135" s="16" t="s">
        <v>117</v>
      </c>
      <c r="K135" s="21">
        <v>46290</v>
      </c>
    </row>
    <row r="136" ht="69" customHeight="1" spans="1:11" x14ac:dyDescent="0.25">
      <c r="A136" s="17" t="s">
        <v>108</v>
      </c>
      <c r="B136" s="17" t="s">
        <v>109</v>
      </c>
      <c r="C136" s="18" t="s">
        <v>111</v>
      </c>
      <c r="D136" s="16" t="s">
        <v>42</v>
      </c>
      <c r="E136" s="16" t="s">
        <v>112</v>
      </c>
      <c r="F136" s="16"/>
      <c r="G136" s="16" t="s">
        <v>504</v>
      </c>
      <c r="H136" s="16" t="s">
        <v>66</v>
      </c>
      <c r="I136" s="16" t="s">
        <v>574</v>
      </c>
      <c r="J136" s="16" t="s">
        <v>117</v>
      </c>
      <c r="K136" s="21">
        <v>46290</v>
      </c>
    </row>
    <row r="137" ht="69" customHeight="1" spans="1:11" x14ac:dyDescent="0.25">
      <c r="A137" s="17" t="s">
        <v>108</v>
      </c>
      <c r="B137" s="17" t="s">
        <v>109</v>
      </c>
      <c r="C137" s="18" t="s">
        <v>111</v>
      </c>
      <c r="D137" s="16" t="s">
        <v>43</v>
      </c>
      <c r="E137" s="16" t="s">
        <v>113</v>
      </c>
      <c r="F137" s="16"/>
      <c r="G137" s="16" t="s">
        <v>504</v>
      </c>
      <c r="H137" s="16" t="s">
        <v>66</v>
      </c>
      <c r="I137" s="16" t="s">
        <v>574</v>
      </c>
      <c r="J137" s="16" t="s">
        <v>117</v>
      </c>
      <c r="K137" s="21">
        <v>46290</v>
      </c>
    </row>
    <row r="138" ht="69" customHeight="1" spans="1:11" x14ac:dyDescent="0.25">
      <c r="A138" s="17" t="s">
        <v>108</v>
      </c>
      <c r="B138" s="17" t="s">
        <v>109</v>
      </c>
      <c r="C138" s="18" t="s">
        <v>111</v>
      </c>
      <c r="D138" s="16" t="s">
        <v>505</v>
      </c>
      <c r="E138" s="16" t="s">
        <v>104</v>
      </c>
      <c r="F138" s="16"/>
      <c r="G138" s="16" t="s">
        <v>506</v>
      </c>
      <c r="H138" s="16" t="s">
        <v>66</v>
      </c>
      <c r="I138" s="16" t="s">
        <v>574</v>
      </c>
      <c r="J138" s="16" t="s">
        <v>117</v>
      </c>
      <c r="K138" s="21">
        <v>46290</v>
      </c>
    </row>
    <row r="139" ht="69" customHeight="1" spans="1:11" x14ac:dyDescent="0.25">
      <c r="A139" s="17" t="s">
        <v>108</v>
      </c>
      <c r="B139" s="17" t="s">
        <v>109</v>
      </c>
      <c r="C139" s="18" t="s">
        <v>111</v>
      </c>
      <c r="D139" s="16" t="s">
        <v>507</v>
      </c>
      <c r="E139" s="16">
        <v>86</v>
      </c>
      <c r="F139" s="16" t="s">
        <v>508</v>
      </c>
      <c r="G139" s="16" t="s">
        <v>509</v>
      </c>
      <c r="H139" s="16" t="s">
        <v>510</v>
      </c>
      <c r="I139" s="16" t="s">
        <v>573</v>
      </c>
      <c r="J139" s="16" t="s">
        <v>116</v>
      </c>
      <c r="K139" s="21">
        <v>46290</v>
      </c>
    </row>
    <row r="140" ht="69" customHeight="1" spans="1:11" x14ac:dyDescent="0.25">
      <c r="A140" s="17" t="s">
        <v>108</v>
      </c>
      <c r="B140" s="17" t="s">
        <v>109</v>
      </c>
      <c r="C140" s="18" t="s">
        <v>111</v>
      </c>
      <c r="D140" s="16" t="s">
        <v>511</v>
      </c>
      <c r="E140" s="16">
        <v>14.2</v>
      </c>
      <c r="F140" s="16" t="s">
        <v>508</v>
      </c>
      <c r="G140" s="16" t="s">
        <v>575</v>
      </c>
      <c r="H140" s="16" t="s">
        <v>513</v>
      </c>
      <c r="I140" s="16" t="s">
        <v>574</v>
      </c>
      <c r="J140" s="16" t="s">
        <v>117</v>
      </c>
      <c r="K140" s="21">
        <v>46290</v>
      </c>
    </row>
    <row r="141" ht="69" customHeight="1" spans="1:11" x14ac:dyDescent="0.25">
      <c r="A141" s="17" t="s">
        <v>108</v>
      </c>
      <c r="B141" s="17" t="s">
        <v>109</v>
      </c>
      <c r="C141" s="18" t="s">
        <v>111</v>
      </c>
      <c r="D141" s="16" t="s">
        <v>514</v>
      </c>
      <c r="E141" s="16">
        <v>2658</v>
      </c>
      <c r="F141" s="16" t="s">
        <v>515</v>
      </c>
      <c r="G141" s="16" t="s">
        <v>516</v>
      </c>
      <c r="H141" s="16" t="s">
        <v>517</v>
      </c>
      <c r="I141" s="16" t="s">
        <v>574</v>
      </c>
      <c r="J141" s="16" t="s">
        <v>117</v>
      </c>
      <c r="K141" s="21">
        <v>46290</v>
      </c>
    </row>
    <row r="142" ht="69" customHeight="1" spans="1:11" x14ac:dyDescent="0.25">
      <c r="A142" s="17" t="s">
        <v>108</v>
      </c>
      <c r="B142" s="17" t="s">
        <v>109</v>
      </c>
      <c r="C142" s="18" t="s">
        <v>111</v>
      </c>
      <c r="D142" s="16" t="s">
        <v>518</v>
      </c>
      <c r="E142" s="16">
        <v>86.01</v>
      </c>
      <c r="F142" s="16" t="s">
        <v>508</v>
      </c>
      <c r="G142" s="16" t="s">
        <v>519</v>
      </c>
      <c r="H142" s="16" t="s">
        <v>115</v>
      </c>
      <c r="I142" s="16" t="s">
        <v>574</v>
      </c>
      <c r="J142" s="16" t="s">
        <v>117</v>
      </c>
      <c r="K142" s="21">
        <v>46290</v>
      </c>
    </row>
    <row r="143" ht="69" customHeight="1" spans="1:11" x14ac:dyDescent="0.25">
      <c r="A143" s="17" t="s">
        <v>108</v>
      </c>
      <c r="B143" s="17" t="s">
        <v>109</v>
      </c>
      <c r="C143" s="18" t="s">
        <v>111</v>
      </c>
      <c r="D143" s="16" t="s">
        <v>520</v>
      </c>
      <c r="E143" s="16">
        <v>14.2</v>
      </c>
      <c r="F143" s="16" t="s">
        <v>508</v>
      </c>
      <c r="G143" s="16" t="s">
        <v>519</v>
      </c>
      <c r="H143" s="16" t="s">
        <v>115</v>
      </c>
      <c r="I143" s="16" t="s">
        <v>574</v>
      </c>
      <c r="J143" s="16" t="s">
        <v>117</v>
      </c>
      <c r="K143" s="21">
        <v>46290</v>
      </c>
    </row>
    <row r="144" ht="69" customHeight="1" spans="1:11" x14ac:dyDescent="0.25">
      <c r="A144" s="17" t="s">
        <v>108</v>
      </c>
      <c r="B144" s="17" t="s">
        <v>109</v>
      </c>
      <c r="C144" s="18" t="s">
        <v>111</v>
      </c>
      <c r="D144" s="16" t="s">
        <v>516</v>
      </c>
      <c r="E144" s="16">
        <v>2658</v>
      </c>
      <c r="F144" s="16" t="s">
        <v>515</v>
      </c>
      <c r="G144" s="16" t="s">
        <v>521</v>
      </c>
      <c r="H144" s="16" t="s">
        <v>522</v>
      </c>
      <c r="I144" s="16" t="s">
        <v>574</v>
      </c>
      <c r="J144" s="16" t="s">
        <v>117</v>
      </c>
      <c r="K144" s="21">
        <v>46290</v>
      </c>
    </row>
    <row r="145" ht="69" customHeight="1" spans="1:11" x14ac:dyDescent="0.25">
      <c r="A145" s="17" t="s">
        <v>108</v>
      </c>
      <c r="B145" s="17" t="s">
        <v>109</v>
      </c>
      <c r="C145" s="18" t="s">
        <v>111</v>
      </c>
      <c r="D145" s="16" t="s">
        <v>526</v>
      </c>
      <c r="E145" s="16" t="s">
        <v>294</v>
      </c>
      <c r="F145" s="16"/>
      <c r="G145" s="16" t="s">
        <v>576</v>
      </c>
      <c r="H145" s="16"/>
      <c r="I145" s="16" t="s">
        <v>321</v>
      </c>
      <c r="J145" s="16" t="s">
        <v>322</v>
      </c>
      <c r="K145" s="21">
        <v>46290</v>
      </c>
    </row>
    <row r="146" ht="69" customHeight="1" spans="1:11" x14ac:dyDescent="0.25">
      <c r="A146" s="17" t="s">
        <v>108</v>
      </c>
      <c r="B146" s="17" t="s">
        <v>109</v>
      </c>
      <c r="C146" s="18" t="s">
        <v>111</v>
      </c>
      <c r="D146" s="16" t="s">
        <v>276</v>
      </c>
      <c r="E146" s="16" t="s">
        <v>316</v>
      </c>
      <c r="F146" s="16"/>
      <c r="G146" s="16" t="s">
        <v>576</v>
      </c>
      <c r="H146" s="16"/>
      <c r="I146" s="16" t="s">
        <v>321</v>
      </c>
      <c r="J146" s="16" t="s">
        <v>322</v>
      </c>
      <c r="K146" s="21">
        <v>46290</v>
      </c>
    </row>
    <row r="147" ht="69" customHeight="1" spans="1:11" x14ac:dyDescent="0.25">
      <c r="A147" s="17" t="s">
        <v>108</v>
      </c>
      <c r="B147" s="17" t="s">
        <v>109</v>
      </c>
      <c r="C147" s="18" t="s">
        <v>111</v>
      </c>
      <c r="D147" s="16" t="s">
        <v>277</v>
      </c>
      <c r="E147" s="16" t="s">
        <v>296</v>
      </c>
      <c r="F147" s="16"/>
      <c r="G147" s="16" t="s">
        <v>576</v>
      </c>
      <c r="H147" s="16"/>
      <c r="I147" s="16" t="s">
        <v>321</v>
      </c>
      <c r="J147" s="16" t="s">
        <v>322</v>
      </c>
      <c r="K147" s="21">
        <v>46290</v>
      </c>
    </row>
    <row r="148" ht="69" customHeight="1" spans="1:11" x14ac:dyDescent="0.25">
      <c r="A148" s="17" t="s">
        <v>118</v>
      </c>
      <c r="B148" s="17" t="s">
        <v>119</v>
      </c>
      <c r="C148" s="18" t="s">
        <v>121</v>
      </c>
      <c r="D148" s="16" t="s">
        <v>489</v>
      </c>
      <c r="E148" s="16" t="s">
        <v>118</v>
      </c>
      <c r="F148" s="16"/>
      <c r="G148" s="16" t="s">
        <v>490</v>
      </c>
      <c r="H148" s="16" t="s">
        <v>491</v>
      </c>
      <c r="I148" s="16" t="s">
        <v>118</v>
      </c>
      <c r="J148" s="16" t="s">
        <v>442</v>
      </c>
      <c r="K148" s="21">
        <v>46290</v>
      </c>
    </row>
    <row r="149" ht="69" customHeight="1" spans="1:11" x14ac:dyDescent="0.25">
      <c r="A149" s="17" t="s">
        <v>118</v>
      </c>
      <c r="B149" s="17" t="s">
        <v>119</v>
      </c>
      <c r="C149" s="18" t="s">
        <v>121</v>
      </c>
      <c r="D149" s="16" t="s">
        <v>492</v>
      </c>
      <c r="E149" s="16" t="s">
        <v>119</v>
      </c>
      <c r="F149" s="16"/>
      <c r="G149" s="16" t="s">
        <v>493</v>
      </c>
      <c r="H149" s="16" t="s">
        <v>494</v>
      </c>
      <c r="I149" s="16" t="s">
        <v>323</v>
      </c>
      <c r="J149" s="16" t="s">
        <v>127</v>
      </c>
      <c r="K149" s="21">
        <v>46290</v>
      </c>
    </row>
    <row r="150" ht="69" customHeight="1" spans="1:11" x14ac:dyDescent="0.25">
      <c r="A150" s="17" t="s">
        <v>118</v>
      </c>
      <c r="B150" s="17" t="s">
        <v>119</v>
      </c>
      <c r="C150" s="18" t="s">
        <v>121</v>
      </c>
      <c r="D150" s="16" t="s">
        <v>38</v>
      </c>
      <c r="E150" s="16" t="s">
        <v>120</v>
      </c>
      <c r="F150" s="16"/>
      <c r="G150" s="16" t="s">
        <v>496</v>
      </c>
      <c r="H150" s="16" t="s">
        <v>497</v>
      </c>
      <c r="I150" s="16" t="s">
        <v>577</v>
      </c>
      <c r="J150" s="16" t="s">
        <v>128</v>
      </c>
      <c r="K150" s="21">
        <v>46290</v>
      </c>
    </row>
    <row r="151" ht="69" customHeight="1" spans="1:11" x14ac:dyDescent="0.25">
      <c r="A151" s="17" t="s">
        <v>118</v>
      </c>
      <c r="B151" s="17" t="s">
        <v>119</v>
      </c>
      <c r="C151" s="18" t="s">
        <v>121</v>
      </c>
      <c r="D151" s="16" t="s">
        <v>499</v>
      </c>
      <c r="E151" s="16">
        <v>2012</v>
      </c>
      <c r="F151" s="16" t="s">
        <v>500</v>
      </c>
      <c r="G151" s="16" t="s">
        <v>388</v>
      </c>
      <c r="H151" s="16" t="s">
        <v>501</v>
      </c>
      <c r="I151" s="16" t="s">
        <v>323</v>
      </c>
      <c r="J151" s="16" t="s">
        <v>127</v>
      </c>
      <c r="K151" s="21">
        <v>46290</v>
      </c>
    </row>
    <row r="152" ht="69" customHeight="1" spans="1:11" x14ac:dyDescent="0.25">
      <c r="A152" s="17" t="s">
        <v>118</v>
      </c>
      <c r="B152" s="17" t="s">
        <v>119</v>
      </c>
      <c r="C152" s="18" t="s">
        <v>121</v>
      </c>
      <c r="D152" s="16" t="s">
        <v>41</v>
      </c>
      <c r="E152" s="16" t="s">
        <v>121</v>
      </c>
      <c r="F152" s="16"/>
      <c r="G152" s="16" t="s">
        <v>502</v>
      </c>
      <c r="H152" s="16" t="s">
        <v>503</v>
      </c>
      <c r="I152" s="16" t="s">
        <v>577</v>
      </c>
      <c r="J152" s="16" t="s">
        <v>128</v>
      </c>
      <c r="K152" s="21">
        <v>46290</v>
      </c>
    </row>
    <row r="153" ht="69" customHeight="1" spans="1:11" x14ac:dyDescent="0.25">
      <c r="A153" s="17" t="s">
        <v>118</v>
      </c>
      <c r="B153" s="17" t="s">
        <v>119</v>
      </c>
      <c r="C153" s="18" t="s">
        <v>121</v>
      </c>
      <c r="D153" s="16" t="s">
        <v>42</v>
      </c>
      <c r="E153" s="16" t="s">
        <v>122</v>
      </c>
      <c r="F153" s="16"/>
      <c r="G153" s="16" t="s">
        <v>504</v>
      </c>
      <c r="H153" s="16" t="s">
        <v>125</v>
      </c>
      <c r="I153" s="16" t="s">
        <v>577</v>
      </c>
      <c r="J153" s="16" t="s">
        <v>128</v>
      </c>
      <c r="K153" s="21">
        <v>46290</v>
      </c>
    </row>
    <row r="154" ht="69" customHeight="1" spans="1:11" x14ac:dyDescent="0.25">
      <c r="A154" s="17" t="s">
        <v>118</v>
      </c>
      <c r="B154" s="17" t="s">
        <v>119</v>
      </c>
      <c r="C154" s="18" t="s">
        <v>121</v>
      </c>
      <c r="D154" s="16" t="s">
        <v>43</v>
      </c>
      <c r="E154" s="16" t="s">
        <v>123</v>
      </c>
      <c r="F154" s="16"/>
      <c r="G154" s="16" t="s">
        <v>504</v>
      </c>
      <c r="H154" s="16" t="s">
        <v>125</v>
      </c>
      <c r="I154" s="16" t="s">
        <v>577</v>
      </c>
      <c r="J154" s="16" t="s">
        <v>128</v>
      </c>
      <c r="K154" s="21">
        <v>46290</v>
      </c>
    </row>
    <row r="155" ht="69" customHeight="1" spans="1:11" x14ac:dyDescent="0.25">
      <c r="A155" s="17" t="s">
        <v>118</v>
      </c>
      <c r="B155" s="17" t="s">
        <v>119</v>
      </c>
      <c r="C155" s="18" t="s">
        <v>121</v>
      </c>
      <c r="D155" s="16" t="s">
        <v>505</v>
      </c>
      <c r="E155" s="16" t="s">
        <v>124</v>
      </c>
      <c r="F155" s="16"/>
      <c r="G155" s="16" t="s">
        <v>506</v>
      </c>
      <c r="H155" s="16" t="s">
        <v>125</v>
      </c>
      <c r="I155" s="16" t="s">
        <v>577</v>
      </c>
      <c r="J155" s="16" t="s">
        <v>128</v>
      </c>
      <c r="K155" s="21">
        <v>46290</v>
      </c>
    </row>
    <row r="156" ht="69" customHeight="1" spans="1:11" x14ac:dyDescent="0.25">
      <c r="A156" s="17" t="s">
        <v>118</v>
      </c>
      <c r="B156" s="17" t="s">
        <v>119</v>
      </c>
      <c r="C156" s="18" t="s">
        <v>121</v>
      </c>
      <c r="D156" s="16" t="s">
        <v>507</v>
      </c>
      <c r="E156" s="16">
        <v>88.5</v>
      </c>
      <c r="F156" s="16" t="s">
        <v>508</v>
      </c>
      <c r="G156" s="16" t="s">
        <v>509</v>
      </c>
      <c r="H156" s="16" t="s">
        <v>510</v>
      </c>
      <c r="I156" s="16" t="s">
        <v>323</v>
      </c>
      <c r="J156" s="16" t="s">
        <v>127</v>
      </c>
      <c r="K156" s="21">
        <v>46290</v>
      </c>
    </row>
    <row r="157" ht="69" customHeight="1" spans="1:11" x14ac:dyDescent="0.25">
      <c r="A157" s="17" t="s">
        <v>118</v>
      </c>
      <c r="B157" s="17" t="s">
        <v>119</v>
      </c>
      <c r="C157" s="18" t="s">
        <v>121</v>
      </c>
      <c r="D157" s="16" t="s">
        <v>511</v>
      </c>
      <c r="E157" s="16">
        <v>14.2</v>
      </c>
      <c r="F157" s="16" t="s">
        <v>508</v>
      </c>
      <c r="G157" s="16" t="s">
        <v>512</v>
      </c>
      <c r="H157" s="16" t="s">
        <v>513</v>
      </c>
      <c r="I157" s="16" t="s">
        <v>323</v>
      </c>
      <c r="J157" s="16" t="s">
        <v>127</v>
      </c>
      <c r="K157" s="21">
        <v>46290</v>
      </c>
    </row>
    <row r="158" ht="69" customHeight="1" spans="1:11" x14ac:dyDescent="0.25">
      <c r="A158" s="17" t="s">
        <v>118</v>
      </c>
      <c r="B158" s="17" t="s">
        <v>119</v>
      </c>
      <c r="C158" s="18" t="s">
        <v>121</v>
      </c>
      <c r="D158" s="16" t="s">
        <v>514</v>
      </c>
      <c r="E158" s="16">
        <v>2786</v>
      </c>
      <c r="F158" s="16" t="s">
        <v>515</v>
      </c>
      <c r="G158" s="16" t="s">
        <v>516</v>
      </c>
      <c r="H158" s="16" t="s">
        <v>517</v>
      </c>
      <c r="I158" s="16" t="s">
        <v>577</v>
      </c>
      <c r="J158" s="16" t="s">
        <v>128</v>
      </c>
      <c r="K158" s="21">
        <v>46290</v>
      </c>
    </row>
    <row r="159" ht="69" customHeight="1" spans="1:11" x14ac:dyDescent="0.25">
      <c r="A159" s="17" t="s">
        <v>118</v>
      </c>
      <c r="B159" s="17" t="s">
        <v>119</v>
      </c>
      <c r="C159" s="18" t="s">
        <v>121</v>
      </c>
      <c r="D159" s="16" t="s">
        <v>518</v>
      </c>
      <c r="E159" s="16">
        <v>88.39</v>
      </c>
      <c r="F159" s="16" t="s">
        <v>508</v>
      </c>
      <c r="G159" s="16" t="s">
        <v>519</v>
      </c>
      <c r="H159" s="16" t="s">
        <v>126</v>
      </c>
      <c r="I159" s="16" t="s">
        <v>577</v>
      </c>
      <c r="J159" s="16" t="s">
        <v>128</v>
      </c>
      <c r="K159" s="21">
        <v>46290</v>
      </c>
    </row>
    <row r="160" ht="69" customHeight="1" spans="1:11" x14ac:dyDescent="0.25">
      <c r="A160" s="17" t="s">
        <v>118</v>
      </c>
      <c r="B160" s="17" t="s">
        <v>119</v>
      </c>
      <c r="C160" s="18" t="s">
        <v>121</v>
      </c>
      <c r="D160" s="16" t="s">
        <v>520</v>
      </c>
      <c r="E160" s="16">
        <v>14.2</v>
      </c>
      <c r="F160" s="16" t="s">
        <v>508</v>
      </c>
      <c r="G160" s="16" t="s">
        <v>519</v>
      </c>
      <c r="H160" s="16" t="s">
        <v>126</v>
      </c>
      <c r="I160" s="16" t="s">
        <v>577</v>
      </c>
      <c r="J160" s="16" t="s">
        <v>128</v>
      </c>
      <c r="K160" s="21">
        <v>46290</v>
      </c>
    </row>
    <row r="161" ht="69" customHeight="1" spans="1:11" x14ac:dyDescent="0.25">
      <c r="A161" s="17" t="s">
        <v>118</v>
      </c>
      <c r="B161" s="17" t="s">
        <v>119</v>
      </c>
      <c r="C161" s="18" t="s">
        <v>121</v>
      </c>
      <c r="D161" s="16" t="s">
        <v>516</v>
      </c>
      <c r="E161" s="16">
        <v>2786</v>
      </c>
      <c r="F161" s="16" t="s">
        <v>515</v>
      </c>
      <c r="G161" s="16" t="s">
        <v>521</v>
      </c>
      <c r="H161" s="16" t="s">
        <v>522</v>
      </c>
      <c r="I161" s="16" t="s">
        <v>577</v>
      </c>
      <c r="J161" s="16" t="s">
        <v>128</v>
      </c>
      <c r="K161" s="21">
        <v>46290</v>
      </c>
    </row>
    <row r="162" ht="69" customHeight="1" spans="1:11" x14ac:dyDescent="0.25">
      <c r="A162" s="17" t="s">
        <v>118</v>
      </c>
      <c r="B162" s="17" t="s">
        <v>119</v>
      </c>
      <c r="C162" s="18" t="s">
        <v>121</v>
      </c>
      <c r="D162" s="16" t="s">
        <v>277</v>
      </c>
      <c r="E162" s="16" t="s">
        <v>309</v>
      </c>
      <c r="F162" s="16"/>
      <c r="G162" s="16" t="s">
        <v>528</v>
      </c>
      <c r="H162" s="16"/>
      <c r="I162" s="16" t="s">
        <v>323</v>
      </c>
      <c r="J162" s="16" t="s">
        <v>127</v>
      </c>
      <c r="K162" s="21">
        <v>46290</v>
      </c>
    </row>
    <row r="163" ht="69" customHeight="1" spans="1:11" x14ac:dyDescent="0.25">
      <c r="A163" s="17" t="s">
        <v>118</v>
      </c>
      <c r="B163" s="17" t="s">
        <v>119</v>
      </c>
      <c r="C163" s="18" t="s">
        <v>121</v>
      </c>
      <c r="D163" s="16" t="s">
        <v>278</v>
      </c>
      <c r="E163" s="16" t="s">
        <v>309</v>
      </c>
      <c r="F163" s="16"/>
      <c r="G163" s="16" t="s">
        <v>529</v>
      </c>
      <c r="H163" s="16"/>
      <c r="I163" s="16" t="s">
        <v>323</v>
      </c>
      <c r="J163" s="16" t="s">
        <v>127</v>
      </c>
      <c r="K163" s="21">
        <v>46290</v>
      </c>
    </row>
    <row r="164" ht="69" customHeight="1" spans="1:11" x14ac:dyDescent="0.25">
      <c r="A164" s="17" t="s">
        <v>129</v>
      </c>
      <c r="B164" s="17" t="s">
        <v>130</v>
      </c>
      <c r="C164" s="18" t="s">
        <v>132</v>
      </c>
      <c r="D164" s="16" t="s">
        <v>489</v>
      </c>
      <c r="E164" s="16" t="s">
        <v>129</v>
      </c>
      <c r="F164" s="16"/>
      <c r="G164" s="16" t="s">
        <v>490</v>
      </c>
      <c r="H164" s="16" t="s">
        <v>491</v>
      </c>
      <c r="I164" s="16" t="s">
        <v>129</v>
      </c>
      <c r="J164" s="16" t="s">
        <v>444</v>
      </c>
      <c r="K164" s="21">
        <v>46290</v>
      </c>
    </row>
    <row r="165" ht="69" customHeight="1" spans="1:11" x14ac:dyDescent="0.25">
      <c r="A165" s="17" t="s">
        <v>129</v>
      </c>
      <c r="B165" s="17" t="s">
        <v>130</v>
      </c>
      <c r="C165" s="18" t="s">
        <v>132</v>
      </c>
      <c r="D165" s="16" t="s">
        <v>492</v>
      </c>
      <c r="E165" s="16" t="s">
        <v>130</v>
      </c>
      <c r="F165" s="16"/>
      <c r="G165" s="16" t="s">
        <v>493</v>
      </c>
      <c r="H165" s="16" t="s">
        <v>494</v>
      </c>
      <c r="I165" s="16" t="s">
        <v>325</v>
      </c>
      <c r="J165" s="16" t="s">
        <v>136</v>
      </c>
      <c r="K165" s="21">
        <v>46290</v>
      </c>
    </row>
    <row r="166" ht="69" customHeight="1" spans="1:11" x14ac:dyDescent="0.25">
      <c r="A166" s="17" t="s">
        <v>129</v>
      </c>
      <c r="B166" s="17" t="s">
        <v>130</v>
      </c>
      <c r="C166" s="18" t="s">
        <v>132</v>
      </c>
      <c r="D166" s="16" t="s">
        <v>38</v>
      </c>
      <c r="E166" s="16" t="s">
        <v>131</v>
      </c>
      <c r="F166" s="16"/>
      <c r="G166" s="16" t="s">
        <v>496</v>
      </c>
      <c r="H166" s="16" t="s">
        <v>497</v>
      </c>
      <c r="I166" s="16" t="s">
        <v>578</v>
      </c>
      <c r="J166" s="16" t="s">
        <v>137</v>
      </c>
      <c r="K166" s="21">
        <v>46290</v>
      </c>
    </row>
    <row r="167" ht="69" customHeight="1" spans="1:11" x14ac:dyDescent="0.25">
      <c r="A167" s="17" t="s">
        <v>129</v>
      </c>
      <c r="B167" s="17" t="s">
        <v>130</v>
      </c>
      <c r="C167" s="18" t="s">
        <v>132</v>
      </c>
      <c r="D167" s="16" t="s">
        <v>499</v>
      </c>
      <c r="E167" s="16">
        <v>2013</v>
      </c>
      <c r="F167" s="16" t="s">
        <v>500</v>
      </c>
      <c r="G167" s="16" t="s">
        <v>388</v>
      </c>
      <c r="H167" s="16" t="s">
        <v>501</v>
      </c>
      <c r="I167" s="16" t="s">
        <v>325</v>
      </c>
      <c r="J167" s="16" t="s">
        <v>136</v>
      </c>
      <c r="K167" s="21">
        <v>46290</v>
      </c>
    </row>
    <row r="168" ht="69" customHeight="1" spans="1:11" x14ac:dyDescent="0.25">
      <c r="A168" s="17" t="s">
        <v>129</v>
      </c>
      <c r="B168" s="17" t="s">
        <v>130</v>
      </c>
      <c r="C168" s="18" t="s">
        <v>132</v>
      </c>
      <c r="D168" s="16" t="s">
        <v>41</v>
      </c>
      <c r="E168" s="16" t="s">
        <v>132</v>
      </c>
      <c r="F168" s="16"/>
      <c r="G168" s="16" t="s">
        <v>502</v>
      </c>
      <c r="H168" s="16" t="s">
        <v>503</v>
      </c>
      <c r="I168" s="16" t="s">
        <v>578</v>
      </c>
      <c r="J168" s="16" t="s">
        <v>137</v>
      </c>
      <c r="K168" s="21">
        <v>46290</v>
      </c>
    </row>
    <row r="169" ht="69" customHeight="1" spans="1:11" x14ac:dyDescent="0.25">
      <c r="A169" s="17" t="s">
        <v>129</v>
      </c>
      <c r="B169" s="17" t="s">
        <v>130</v>
      </c>
      <c r="C169" s="18" t="s">
        <v>132</v>
      </c>
      <c r="D169" s="16" t="s">
        <v>42</v>
      </c>
      <c r="E169" s="16" t="s">
        <v>133</v>
      </c>
      <c r="F169" s="16"/>
      <c r="G169" s="16" t="s">
        <v>504</v>
      </c>
      <c r="H169" s="16" t="s">
        <v>125</v>
      </c>
      <c r="I169" s="16" t="s">
        <v>578</v>
      </c>
      <c r="J169" s="16" t="s">
        <v>137</v>
      </c>
      <c r="K169" s="21">
        <v>46290</v>
      </c>
    </row>
    <row r="170" ht="69" customHeight="1" spans="1:11" x14ac:dyDescent="0.25">
      <c r="A170" s="17" t="s">
        <v>129</v>
      </c>
      <c r="B170" s="17" t="s">
        <v>130</v>
      </c>
      <c r="C170" s="18" t="s">
        <v>132</v>
      </c>
      <c r="D170" s="16" t="s">
        <v>43</v>
      </c>
      <c r="E170" s="16" t="s">
        <v>134</v>
      </c>
      <c r="F170" s="16"/>
      <c r="G170" s="16" t="s">
        <v>504</v>
      </c>
      <c r="H170" s="16" t="s">
        <v>125</v>
      </c>
      <c r="I170" s="16" t="s">
        <v>578</v>
      </c>
      <c r="J170" s="16" t="s">
        <v>137</v>
      </c>
      <c r="K170" s="21">
        <v>46290</v>
      </c>
    </row>
    <row r="171" ht="69" customHeight="1" spans="1:11" x14ac:dyDescent="0.25">
      <c r="A171" s="17" t="s">
        <v>129</v>
      </c>
      <c r="B171" s="17" t="s">
        <v>130</v>
      </c>
      <c r="C171" s="18" t="s">
        <v>132</v>
      </c>
      <c r="D171" s="16" t="s">
        <v>505</v>
      </c>
      <c r="E171" s="16" t="s">
        <v>124</v>
      </c>
      <c r="F171" s="16"/>
      <c r="G171" s="16" t="s">
        <v>506</v>
      </c>
      <c r="H171" s="16" t="s">
        <v>125</v>
      </c>
      <c r="I171" s="16" t="s">
        <v>578</v>
      </c>
      <c r="J171" s="16" t="s">
        <v>137</v>
      </c>
      <c r="K171" s="21">
        <v>46290</v>
      </c>
    </row>
    <row r="172" ht="69" customHeight="1" spans="1:11" x14ac:dyDescent="0.25">
      <c r="A172" s="17" t="s">
        <v>129</v>
      </c>
      <c r="B172" s="17" t="s">
        <v>130</v>
      </c>
      <c r="C172" s="18" t="s">
        <v>132</v>
      </c>
      <c r="D172" s="16" t="s">
        <v>507</v>
      </c>
      <c r="E172" s="16">
        <v>85.6</v>
      </c>
      <c r="F172" s="16" t="s">
        <v>508</v>
      </c>
      <c r="G172" s="16" t="s">
        <v>509</v>
      </c>
      <c r="H172" s="16" t="s">
        <v>510</v>
      </c>
      <c r="I172" s="16" t="s">
        <v>325</v>
      </c>
      <c r="J172" s="16" t="s">
        <v>136</v>
      </c>
      <c r="K172" s="21">
        <v>46290</v>
      </c>
    </row>
    <row r="173" ht="69" customHeight="1" spans="1:11" x14ac:dyDescent="0.25">
      <c r="A173" s="17" t="s">
        <v>129</v>
      </c>
      <c r="B173" s="17" t="s">
        <v>130</v>
      </c>
      <c r="C173" s="18" t="s">
        <v>132</v>
      </c>
      <c r="D173" s="16" t="s">
        <v>511</v>
      </c>
      <c r="E173" s="16">
        <v>14.2</v>
      </c>
      <c r="F173" s="16" t="s">
        <v>508</v>
      </c>
      <c r="G173" s="16" t="s">
        <v>512</v>
      </c>
      <c r="H173" s="16" t="s">
        <v>513</v>
      </c>
      <c r="I173" s="16" t="s">
        <v>325</v>
      </c>
      <c r="J173" s="16" t="s">
        <v>136</v>
      </c>
      <c r="K173" s="21">
        <v>46290</v>
      </c>
    </row>
    <row r="174" ht="69" customHeight="1" spans="1:11" x14ac:dyDescent="0.25">
      <c r="A174" s="17" t="s">
        <v>129</v>
      </c>
      <c r="B174" s="17" t="s">
        <v>130</v>
      </c>
      <c r="C174" s="18" t="s">
        <v>132</v>
      </c>
      <c r="D174" s="16" t="s">
        <v>514</v>
      </c>
      <c r="E174" s="16">
        <v>2744</v>
      </c>
      <c r="F174" s="16" t="s">
        <v>515</v>
      </c>
      <c r="G174" s="16" t="s">
        <v>516</v>
      </c>
      <c r="H174" s="16" t="s">
        <v>517</v>
      </c>
      <c r="I174" s="16" t="s">
        <v>578</v>
      </c>
      <c r="J174" s="16" t="s">
        <v>137</v>
      </c>
      <c r="K174" s="21">
        <v>46290</v>
      </c>
    </row>
    <row r="175" ht="69" customHeight="1" spans="1:11" x14ac:dyDescent="0.25">
      <c r="A175" s="17" t="s">
        <v>129</v>
      </c>
      <c r="B175" s="17" t="s">
        <v>130</v>
      </c>
      <c r="C175" s="18" t="s">
        <v>132</v>
      </c>
      <c r="D175" s="16" t="s">
        <v>518</v>
      </c>
      <c r="E175" s="16">
        <v>88.39</v>
      </c>
      <c r="F175" s="16" t="s">
        <v>508</v>
      </c>
      <c r="G175" s="16" t="s">
        <v>519</v>
      </c>
      <c r="H175" s="16" t="s">
        <v>135</v>
      </c>
      <c r="I175" s="16" t="s">
        <v>578</v>
      </c>
      <c r="J175" s="16" t="s">
        <v>137</v>
      </c>
      <c r="K175" s="21">
        <v>46290</v>
      </c>
    </row>
    <row r="176" ht="69" customHeight="1" spans="1:11" x14ac:dyDescent="0.25">
      <c r="A176" s="17" t="s">
        <v>129</v>
      </c>
      <c r="B176" s="17" t="s">
        <v>130</v>
      </c>
      <c r="C176" s="18" t="s">
        <v>132</v>
      </c>
      <c r="D176" s="16" t="s">
        <v>520</v>
      </c>
      <c r="E176" s="16">
        <v>14.2</v>
      </c>
      <c r="F176" s="16" t="s">
        <v>508</v>
      </c>
      <c r="G176" s="16" t="s">
        <v>519</v>
      </c>
      <c r="H176" s="16" t="s">
        <v>135</v>
      </c>
      <c r="I176" s="16" t="s">
        <v>578</v>
      </c>
      <c r="J176" s="16" t="s">
        <v>137</v>
      </c>
      <c r="K176" s="21">
        <v>46290</v>
      </c>
    </row>
    <row r="177" ht="69" customHeight="1" spans="1:11" x14ac:dyDescent="0.25">
      <c r="A177" s="17" t="s">
        <v>129</v>
      </c>
      <c r="B177" s="17" t="s">
        <v>130</v>
      </c>
      <c r="C177" s="18" t="s">
        <v>132</v>
      </c>
      <c r="D177" s="16" t="s">
        <v>516</v>
      </c>
      <c r="E177" s="16">
        <v>2744</v>
      </c>
      <c r="F177" s="16" t="s">
        <v>515</v>
      </c>
      <c r="G177" s="16" t="s">
        <v>521</v>
      </c>
      <c r="H177" s="16" t="s">
        <v>522</v>
      </c>
      <c r="I177" s="16" t="s">
        <v>578</v>
      </c>
      <c r="J177" s="16" t="s">
        <v>137</v>
      </c>
      <c r="K177" s="21">
        <v>46290</v>
      </c>
    </row>
    <row r="178" ht="69" customHeight="1" spans="1:11" x14ac:dyDescent="0.25">
      <c r="A178" s="17" t="s">
        <v>129</v>
      </c>
      <c r="B178" s="17" t="s">
        <v>130</v>
      </c>
      <c r="C178" s="18" t="s">
        <v>132</v>
      </c>
      <c r="D178" s="16" t="s">
        <v>277</v>
      </c>
      <c r="E178" s="16" t="s">
        <v>324</v>
      </c>
      <c r="F178" s="16"/>
      <c r="G178" s="16" t="s">
        <v>528</v>
      </c>
      <c r="H178" s="16"/>
      <c r="I178" s="16" t="s">
        <v>325</v>
      </c>
      <c r="J178" s="16" t="s">
        <v>136</v>
      </c>
      <c r="K178" s="21">
        <v>46290</v>
      </c>
    </row>
    <row r="179" ht="69" customHeight="1" spans="1:11" x14ac:dyDescent="0.25">
      <c r="A179" s="17" t="s">
        <v>129</v>
      </c>
      <c r="B179" s="17" t="s">
        <v>130</v>
      </c>
      <c r="C179" s="18" t="s">
        <v>132</v>
      </c>
      <c r="D179" s="16" t="s">
        <v>278</v>
      </c>
      <c r="E179" s="16" t="s">
        <v>302</v>
      </c>
      <c r="F179" s="16"/>
      <c r="G179" s="16" t="s">
        <v>529</v>
      </c>
      <c r="H179" s="16"/>
      <c r="I179" s="16" t="s">
        <v>325</v>
      </c>
      <c r="J179" s="16" t="s">
        <v>136</v>
      </c>
      <c r="K179" s="21">
        <v>46290</v>
      </c>
    </row>
    <row r="180" ht="69" customHeight="1" spans="1:11" x14ac:dyDescent="0.25">
      <c r="A180" s="17" t="s">
        <v>138</v>
      </c>
      <c r="B180" s="17" t="s">
        <v>139</v>
      </c>
      <c r="C180" s="18" t="s">
        <v>142</v>
      </c>
      <c r="D180" s="16" t="s">
        <v>489</v>
      </c>
      <c r="E180" s="16" t="s">
        <v>138</v>
      </c>
      <c r="F180" s="16"/>
      <c r="G180" s="16" t="s">
        <v>490</v>
      </c>
      <c r="H180" s="16" t="s">
        <v>491</v>
      </c>
      <c r="I180" s="16" t="s">
        <v>447</v>
      </c>
      <c r="J180" s="16" t="s">
        <v>448</v>
      </c>
      <c r="K180" s="21">
        <v>46290</v>
      </c>
    </row>
    <row r="181" ht="69" customHeight="1" spans="1:11" x14ac:dyDescent="0.25">
      <c r="A181" s="17" t="s">
        <v>138</v>
      </c>
      <c r="B181" s="17" t="s">
        <v>139</v>
      </c>
      <c r="C181" s="18" t="s">
        <v>142</v>
      </c>
      <c r="D181" s="16" t="s">
        <v>492</v>
      </c>
      <c r="E181" s="16" t="s">
        <v>139</v>
      </c>
      <c r="F181" s="16"/>
      <c r="G181" s="16" t="s">
        <v>493</v>
      </c>
      <c r="H181" s="16" t="s">
        <v>494</v>
      </c>
      <c r="I181" s="16" t="s">
        <v>579</v>
      </c>
      <c r="J181" s="16" t="s">
        <v>147</v>
      </c>
      <c r="K181" s="21">
        <v>46290</v>
      </c>
    </row>
    <row r="182" ht="69" customHeight="1" spans="1:11" x14ac:dyDescent="0.25">
      <c r="A182" s="17" t="s">
        <v>138</v>
      </c>
      <c r="B182" s="17" t="s">
        <v>139</v>
      </c>
      <c r="C182" s="18" t="s">
        <v>142</v>
      </c>
      <c r="D182" s="16" t="s">
        <v>38</v>
      </c>
      <c r="E182" s="16" t="s">
        <v>140</v>
      </c>
      <c r="F182" s="16"/>
      <c r="G182" s="16" t="s">
        <v>496</v>
      </c>
      <c r="H182" s="16" t="s">
        <v>497</v>
      </c>
      <c r="I182" s="16" t="s">
        <v>580</v>
      </c>
      <c r="J182" s="16" t="s">
        <v>148</v>
      </c>
      <c r="K182" s="21">
        <v>46290</v>
      </c>
    </row>
    <row r="183" ht="69" customHeight="1" spans="1:11" x14ac:dyDescent="0.25">
      <c r="A183" s="17" t="s">
        <v>138</v>
      </c>
      <c r="B183" s="17" t="s">
        <v>139</v>
      </c>
      <c r="C183" s="18" t="s">
        <v>142</v>
      </c>
      <c r="D183" s="16" t="s">
        <v>499</v>
      </c>
      <c r="E183" s="16">
        <v>2014</v>
      </c>
      <c r="F183" s="16" t="s">
        <v>500</v>
      </c>
      <c r="G183" s="16" t="s">
        <v>388</v>
      </c>
      <c r="H183" s="16" t="s">
        <v>501</v>
      </c>
      <c r="I183" s="16" t="s">
        <v>579</v>
      </c>
      <c r="J183" s="16" t="s">
        <v>147</v>
      </c>
      <c r="K183" s="21">
        <v>46290</v>
      </c>
    </row>
    <row r="184" ht="69" customHeight="1" spans="1:11" x14ac:dyDescent="0.25">
      <c r="A184" s="17" t="s">
        <v>138</v>
      </c>
      <c r="B184" s="17" t="s">
        <v>139</v>
      </c>
      <c r="C184" s="18" t="s">
        <v>142</v>
      </c>
      <c r="D184" s="16" t="s">
        <v>41</v>
      </c>
      <c r="E184" s="16" t="s">
        <v>142</v>
      </c>
      <c r="F184" s="16"/>
      <c r="G184" s="16" t="s">
        <v>502</v>
      </c>
      <c r="H184" s="16" t="s">
        <v>503</v>
      </c>
      <c r="I184" s="16" t="s">
        <v>580</v>
      </c>
      <c r="J184" s="16" t="s">
        <v>148</v>
      </c>
      <c r="K184" s="21">
        <v>46290</v>
      </c>
    </row>
    <row r="185" ht="69" customHeight="1" spans="1:11" x14ac:dyDescent="0.25">
      <c r="A185" s="17" t="s">
        <v>138</v>
      </c>
      <c r="B185" s="17" t="s">
        <v>139</v>
      </c>
      <c r="C185" s="18" t="s">
        <v>142</v>
      </c>
      <c r="D185" s="16" t="s">
        <v>42</v>
      </c>
      <c r="E185" s="16" t="s">
        <v>143</v>
      </c>
      <c r="F185" s="16"/>
      <c r="G185" s="16" t="s">
        <v>504</v>
      </c>
      <c r="H185" s="16" t="s">
        <v>66</v>
      </c>
      <c r="I185" s="16" t="s">
        <v>580</v>
      </c>
      <c r="J185" s="16" t="s">
        <v>148</v>
      </c>
      <c r="K185" s="21">
        <v>46290</v>
      </c>
    </row>
    <row r="186" ht="69" customHeight="1" spans="1:11" x14ac:dyDescent="0.25">
      <c r="A186" s="17" t="s">
        <v>138</v>
      </c>
      <c r="B186" s="17" t="s">
        <v>139</v>
      </c>
      <c r="C186" s="18" t="s">
        <v>142</v>
      </c>
      <c r="D186" s="16" t="s">
        <v>43</v>
      </c>
      <c r="E186" s="16" t="s">
        <v>144</v>
      </c>
      <c r="F186" s="16"/>
      <c r="G186" s="16" t="s">
        <v>504</v>
      </c>
      <c r="H186" s="16" t="s">
        <v>66</v>
      </c>
      <c r="I186" s="16" t="s">
        <v>580</v>
      </c>
      <c r="J186" s="16" t="s">
        <v>148</v>
      </c>
      <c r="K186" s="21">
        <v>46290</v>
      </c>
    </row>
    <row r="187" ht="69" customHeight="1" spans="1:11" x14ac:dyDescent="0.25">
      <c r="A187" s="17" t="s">
        <v>138</v>
      </c>
      <c r="B187" s="17" t="s">
        <v>139</v>
      </c>
      <c r="C187" s="18" t="s">
        <v>142</v>
      </c>
      <c r="D187" s="16" t="s">
        <v>505</v>
      </c>
      <c r="E187" s="16" t="s">
        <v>104</v>
      </c>
      <c r="F187" s="16"/>
      <c r="G187" s="16" t="s">
        <v>506</v>
      </c>
      <c r="H187" s="16" t="s">
        <v>66</v>
      </c>
      <c r="I187" s="16" t="s">
        <v>580</v>
      </c>
      <c r="J187" s="16" t="s">
        <v>148</v>
      </c>
      <c r="K187" s="21">
        <v>46290</v>
      </c>
    </row>
    <row r="188" ht="69" customHeight="1" spans="1:11" x14ac:dyDescent="0.25">
      <c r="A188" s="17" t="s">
        <v>138</v>
      </c>
      <c r="B188" s="17" t="s">
        <v>139</v>
      </c>
      <c r="C188" s="18" t="s">
        <v>142</v>
      </c>
      <c r="D188" s="16" t="s">
        <v>507</v>
      </c>
      <c r="E188" s="16">
        <v>92.9</v>
      </c>
      <c r="F188" s="16" t="s">
        <v>508</v>
      </c>
      <c r="G188" s="16" t="s">
        <v>509</v>
      </c>
      <c r="H188" s="16" t="s">
        <v>510</v>
      </c>
      <c r="I188" s="16" t="s">
        <v>579</v>
      </c>
      <c r="J188" s="16" t="s">
        <v>147</v>
      </c>
      <c r="K188" s="21">
        <v>46290</v>
      </c>
    </row>
    <row r="189" ht="69" customHeight="1" spans="1:11" x14ac:dyDescent="0.25">
      <c r="A189" s="17" t="s">
        <v>138</v>
      </c>
      <c r="B189" s="17" t="s">
        <v>139</v>
      </c>
      <c r="C189" s="18" t="s">
        <v>142</v>
      </c>
      <c r="D189" s="16" t="s">
        <v>511</v>
      </c>
      <c r="E189" s="16">
        <v>14.5</v>
      </c>
      <c r="F189" s="16" t="s">
        <v>508</v>
      </c>
      <c r="G189" s="16" t="s">
        <v>512</v>
      </c>
      <c r="H189" s="16" t="s">
        <v>513</v>
      </c>
      <c r="I189" s="16" t="s">
        <v>579</v>
      </c>
      <c r="J189" s="16" t="s">
        <v>147</v>
      </c>
      <c r="K189" s="21">
        <v>46290</v>
      </c>
    </row>
    <row r="190" ht="69" customHeight="1" spans="1:11" x14ac:dyDescent="0.25">
      <c r="A190" s="17" t="s">
        <v>138</v>
      </c>
      <c r="B190" s="17" t="s">
        <v>139</v>
      </c>
      <c r="C190" s="18" t="s">
        <v>142</v>
      </c>
      <c r="D190" s="16" t="s">
        <v>514</v>
      </c>
      <c r="E190" s="16">
        <v>2951</v>
      </c>
      <c r="F190" s="16" t="s">
        <v>515</v>
      </c>
      <c r="G190" s="16" t="s">
        <v>581</v>
      </c>
      <c r="H190" s="16" t="s">
        <v>582</v>
      </c>
      <c r="I190" s="16" t="s">
        <v>583</v>
      </c>
      <c r="J190" s="16" t="s">
        <v>584</v>
      </c>
      <c r="K190" s="21">
        <v>46290</v>
      </c>
    </row>
    <row r="191" ht="69" customHeight="1" spans="1:11" x14ac:dyDescent="0.25">
      <c r="A191" s="17" t="s">
        <v>138</v>
      </c>
      <c r="B191" s="17" t="s">
        <v>139</v>
      </c>
      <c r="C191" s="18" t="s">
        <v>142</v>
      </c>
      <c r="D191" s="16" t="s">
        <v>518</v>
      </c>
      <c r="E191" s="16">
        <v>91.5</v>
      </c>
      <c r="F191" s="16" t="s">
        <v>508</v>
      </c>
      <c r="G191" s="16" t="s">
        <v>519</v>
      </c>
      <c r="H191" s="16" t="s">
        <v>401</v>
      </c>
      <c r="I191" s="16" t="s">
        <v>580</v>
      </c>
      <c r="J191" s="16" t="s">
        <v>148</v>
      </c>
      <c r="K191" s="21">
        <v>46290</v>
      </c>
    </row>
    <row r="192" ht="69" customHeight="1" spans="1:11" x14ac:dyDescent="0.25">
      <c r="A192" s="17" t="s">
        <v>138</v>
      </c>
      <c r="B192" s="17" t="s">
        <v>139</v>
      </c>
      <c r="C192" s="18" t="s">
        <v>142</v>
      </c>
      <c r="D192" s="16" t="s">
        <v>520</v>
      </c>
      <c r="E192" s="16">
        <v>14.6</v>
      </c>
      <c r="F192" s="16" t="s">
        <v>508</v>
      </c>
      <c r="G192" s="16" t="s">
        <v>519</v>
      </c>
      <c r="H192" s="16" t="s">
        <v>401</v>
      </c>
      <c r="I192" s="16" t="s">
        <v>580</v>
      </c>
      <c r="J192" s="16" t="s">
        <v>148</v>
      </c>
      <c r="K192" s="21">
        <v>46290</v>
      </c>
    </row>
    <row r="193" ht="69" customHeight="1" spans="1:11" x14ac:dyDescent="0.25">
      <c r="A193" s="17" t="s">
        <v>138</v>
      </c>
      <c r="B193" s="17" t="s">
        <v>139</v>
      </c>
      <c r="C193" s="18" t="s">
        <v>142</v>
      </c>
      <c r="D193" s="16" t="s">
        <v>516</v>
      </c>
      <c r="E193" s="16">
        <v>2894</v>
      </c>
      <c r="F193" s="16" t="s">
        <v>515</v>
      </c>
      <c r="G193" s="16" t="s">
        <v>521</v>
      </c>
      <c r="H193" s="16" t="s">
        <v>522</v>
      </c>
      <c r="I193" s="16" t="s">
        <v>580</v>
      </c>
      <c r="J193" s="16" t="s">
        <v>148</v>
      </c>
      <c r="K193" s="21">
        <v>46290</v>
      </c>
    </row>
    <row r="194" ht="69" customHeight="1" spans="1:11" x14ac:dyDescent="0.25">
      <c r="A194" s="17" t="s">
        <v>138</v>
      </c>
      <c r="B194" s="17" t="s">
        <v>139</v>
      </c>
      <c r="C194" s="18" t="s">
        <v>142</v>
      </c>
      <c r="D194" s="16" t="s">
        <v>539</v>
      </c>
      <c r="E194" s="16">
        <v>2026</v>
      </c>
      <c r="F194" s="16" t="s">
        <v>500</v>
      </c>
      <c r="G194" s="16" t="s">
        <v>585</v>
      </c>
      <c r="H194" s="16"/>
      <c r="I194" s="16" t="s">
        <v>327</v>
      </c>
      <c r="J194" s="16" t="s">
        <v>328</v>
      </c>
      <c r="K194" s="21">
        <v>46290</v>
      </c>
    </row>
    <row r="195" ht="69" customHeight="1" spans="1:11" x14ac:dyDescent="0.25">
      <c r="A195" s="17" t="s">
        <v>138</v>
      </c>
      <c r="B195" s="17" t="s">
        <v>139</v>
      </c>
      <c r="C195" s="18" t="s">
        <v>142</v>
      </c>
      <c r="D195" s="16" t="s">
        <v>540</v>
      </c>
      <c r="E195" s="16" t="s">
        <v>326</v>
      </c>
      <c r="F195" s="16"/>
      <c r="G195" s="16" t="s">
        <v>586</v>
      </c>
      <c r="H195" s="16"/>
      <c r="I195" s="16" t="s">
        <v>327</v>
      </c>
      <c r="J195" s="16" t="s">
        <v>328</v>
      </c>
      <c r="K195" s="21">
        <v>46290</v>
      </c>
    </row>
    <row r="196" ht="69" customHeight="1" spans="1:11" x14ac:dyDescent="0.25">
      <c r="A196" s="17" t="s">
        <v>149</v>
      </c>
      <c r="B196" s="17" t="s">
        <v>150</v>
      </c>
      <c r="C196" s="18" t="s">
        <v>152</v>
      </c>
      <c r="D196" s="16" t="s">
        <v>489</v>
      </c>
      <c r="E196" s="16" t="s">
        <v>149</v>
      </c>
      <c r="F196" s="16"/>
      <c r="G196" s="16" t="s">
        <v>490</v>
      </c>
      <c r="H196" s="16" t="s">
        <v>491</v>
      </c>
      <c r="I196" s="16" t="s">
        <v>451</v>
      </c>
      <c r="J196" s="16" t="s">
        <v>452</v>
      </c>
      <c r="K196" s="21">
        <v>46290</v>
      </c>
    </row>
    <row r="197" ht="69" customHeight="1" spans="1:11" x14ac:dyDescent="0.25">
      <c r="A197" s="17" t="s">
        <v>149</v>
      </c>
      <c r="B197" s="17" t="s">
        <v>150</v>
      </c>
      <c r="C197" s="18" t="s">
        <v>152</v>
      </c>
      <c r="D197" s="16" t="s">
        <v>492</v>
      </c>
      <c r="E197" s="16" t="s">
        <v>150</v>
      </c>
      <c r="F197" s="16"/>
      <c r="G197" s="16" t="s">
        <v>493</v>
      </c>
      <c r="H197" s="16" t="s">
        <v>494</v>
      </c>
      <c r="I197" s="16" t="s">
        <v>332</v>
      </c>
      <c r="J197" s="16" t="s">
        <v>157</v>
      </c>
      <c r="K197" s="21">
        <v>46290</v>
      </c>
    </row>
    <row r="198" ht="69" customHeight="1" spans="1:11" x14ac:dyDescent="0.25">
      <c r="A198" s="17" t="s">
        <v>149</v>
      </c>
      <c r="B198" s="17" t="s">
        <v>150</v>
      </c>
      <c r="C198" s="18" t="s">
        <v>152</v>
      </c>
      <c r="D198" s="16" t="s">
        <v>38</v>
      </c>
      <c r="E198" s="16" t="s">
        <v>151</v>
      </c>
      <c r="F198" s="16"/>
      <c r="G198" s="16" t="s">
        <v>496</v>
      </c>
      <c r="H198" s="16" t="s">
        <v>497</v>
      </c>
      <c r="I198" s="16" t="s">
        <v>587</v>
      </c>
      <c r="J198" s="16" t="s">
        <v>158</v>
      </c>
      <c r="K198" s="21">
        <v>46290</v>
      </c>
    </row>
    <row r="199" ht="69" customHeight="1" spans="1:11" x14ac:dyDescent="0.25">
      <c r="A199" s="17" t="s">
        <v>149</v>
      </c>
      <c r="B199" s="17" t="s">
        <v>150</v>
      </c>
      <c r="C199" s="18" t="s">
        <v>152</v>
      </c>
      <c r="D199" s="16" t="s">
        <v>499</v>
      </c>
      <c r="E199" s="16">
        <v>2015</v>
      </c>
      <c r="F199" s="16" t="s">
        <v>500</v>
      </c>
      <c r="G199" s="16" t="s">
        <v>388</v>
      </c>
      <c r="H199" s="16" t="s">
        <v>501</v>
      </c>
      <c r="I199" s="16" t="s">
        <v>332</v>
      </c>
      <c r="J199" s="16" t="s">
        <v>157</v>
      </c>
      <c r="K199" s="21">
        <v>46290</v>
      </c>
    </row>
    <row r="200" ht="69" customHeight="1" spans="1:11" x14ac:dyDescent="0.25">
      <c r="A200" s="17" t="s">
        <v>149</v>
      </c>
      <c r="B200" s="17" t="s">
        <v>150</v>
      </c>
      <c r="C200" s="18" t="s">
        <v>152</v>
      </c>
      <c r="D200" s="16" t="s">
        <v>41</v>
      </c>
      <c r="E200" s="16" t="s">
        <v>152</v>
      </c>
      <c r="F200" s="16"/>
      <c r="G200" s="16" t="s">
        <v>502</v>
      </c>
      <c r="H200" s="16" t="s">
        <v>503</v>
      </c>
      <c r="I200" s="16" t="s">
        <v>587</v>
      </c>
      <c r="J200" s="16" t="s">
        <v>158</v>
      </c>
      <c r="K200" s="21">
        <v>46290</v>
      </c>
    </row>
    <row r="201" ht="69" customHeight="1" spans="1:11" x14ac:dyDescent="0.25">
      <c r="A201" s="17" t="s">
        <v>149</v>
      </c>
      <c r="B201" s="17" t="s">
        <v>150</v>
      </c>
      <c r="C201" s="18" t="s">
        <v>152</v>
      </c>
      <c r="D201" s="16" t="s">
        <v>42</v>
      </c>
      <c r="E201" s="16" t="s">
        <v>153</v>
      </c>
      <c r="F201" s="16"/>
      <c r="G201" s="16" t="s">
        <v>504</v>
      </c>
      <c r="H201" s="16" t="s">
        <v>155</v>
      </c>
      <c r="I201" s="16" t="s">
        <v>588</v>
      </c>
      <c r="J201" s="16" t="s">
        <v>159</v>
      </c>
      <c r="K201" s="21">
        <v>46290</v>
      </c>
    </row>
    <row r="202" ht="69" customHeight="1" spans="1:11" x14ac:dyDescent="0.25">
      <c r="A202" s="17" t="s">
        <v>149</v>
      </c>
      <c r="B202" s="17" t="s">
        <v>150</v>
      </c>
      <c r="C202" s="18" t="s">
        <v>152</v>
      </c>
      <c r="D202" s="16" t="s">
        <v>43</v>
      </c>
      <c r="E202" s="16" t="s">
        <v>154</v>
      </c>
      <c r="F202" s="16"/>
      <c r="G202" s="16" t="s">
        <v>504</v>
      </c>
      <c r="H202" s="16" t="s">
        <v>155</v>
      </c>
      <c r="I202" s="16" t="s">
        <v>588</v>
      </c>
      <c r="J202" s="16" t="s">
        <v>159</v>
      </c>
      <c r="K202" s="21">
        <v>46290</v>
      </c>
    </row>
    <row r="203" ht="69" customHeight="1" spans="1:11" x14ac:dyDescent="0.25">
      <c r="A203" s="17" t="s">
        <v>149</v>
      </c>
      <c r="B203" s="17" t="s">
        <v>150</v>
      </c>
      <c r="C203" s="18" t="s">
        <v>152</v>
      </c>
      <c r="D203" s="16" t="s">
        <v>505</v>
      </c>
      <c r="E203" s="16" t="s">
        <v>104</v>
      </c>
      <c r="F203" s="16"/>
      <c r="G203" s="16" t="s">
        <v>506</v>
      </c>
      <c r="H203" s="16" t="s">
        <v>155</v>
      </c>
      <c r="I203" s="16" t="s">
        <v>588</v>
      </c>
      <c r="J203" s="16" t="s">
        <v>159</v>
      </c>
      <c r="K203" s="21">
        <v>46290</v>
      </c>
    </row>
    <row r="204" ht="69" customHeight="1" spans="1:11" x14ac:dyDescent="0.25">
      <c r="A204" s="17" t="s">
        <v>149</v>
      </c>
      <c r="B204" s="17" t="s">
        <v>150</v>
      </c>
      <c r="C204" s="18" t="s">
        <v>152</v>
      </c>
      <c r="D204" s="16" t="s">
        <v>507</v>
      </c>
      <c r="E204" s="16">
        <v>89</v>
      </c>
      <c r="F204" s="16" t="s">
        <v>508</v>
      </c>
      <c r="G204" s="16" t="s">
        <v>509</v>
      </c>
      <c r="H204" s="16" t="s">
        <v>510</v>
      </c>
      <c r="I204" s="16" t="s">
        <v>332</v>
      </c>
      <c r="J204" s="16" t="s">
        <v>157</v>
      </c>
      <c r="K204" s="21">
        <v>46290</v>
      </c>
    </row>
    <row r="205" ht="69" customHeight="1" spans="1:11" x14ac:dyDescent="0.25">
      <c r="A205" s="17" t="s">
        <v>149</v>
      </c>
      <c r="B205" s="17" t="s">
        <v>150</v>
      </c>
      <c r="C205" s="18" t="s">
        <v>152</v>
      </c>
      <c r="D205" s="16" t="s">
        <v>511</v>
      </c>
      <c r="E205" s="16">
        <v>14.2</v>
      </c>
      <c r="F205" s="16" t="s">
        <v>508</v>
      </c>
      <c r="G205" s="16" t="s">
        <v>512</v>
      </c>
      <c r="H205" s="16" t="s">
        <v>513</v>
      </c>
      <c r="I205" s="16" t="s">
        <v>332</v>
      </c>
      <c r="J205" s="16" t="s">
        <v>157</v>
      </c>
      <c r="K205" s="21">
        <v>46290</v>
      </c>
    </row>
    <row r="206" ht="69" customHeight="1" spans="1:11" x14ac:dyDescent="0.25">
      <c r="A206" s="17" t="s">
        <v>149</v>
      </c>
      <c r="B206" s="17" t="s">
        <v>150</v>
      </c>
      <c r="C206" s="18" t="s">
        <v>152</v>
      </c>
      <c r="D206" s="16" t="s">
        <v>514</v>
      </c>
      <c r="E206" s="16">
        <v>2914</v>
      </c>
      <c r="F206" s="16" t="s">
        <v>515</v>
      </c>
      <c r="G206" s="16" t="s">
        <v>516</v>
      </c>
      <c r="H206" s="16" t="s">
        <v>517</v>
      </c>
      <c r="I206" s="16" t="s">
        <v>587</v>
      </c>
      <c r="J206" s="16" t="s">
        <v>158</v>
      </c>
      <c r="K206" s="21">
        <v>46290</v>
      </c>
    </row>
    <row r="207" ht="69" customHeight="1" spans="1:11" x14ac:dyDescent="0.25">
      <c r="A207" s="17" t="s">
        <v>149</v>
      </c>
      <c r="B207" s="17" t="s">
        <v>150</v>
      </c>
      <c r="C207" s="18" t="s">
        <v>152</v>
      </c>
      <c r="D207" s="16" t="s">
        <v>518</v>
      </c>
      <c r="E207" s="16">
        <v>89</v>
      </c>
      <c r="F207" s="16" t="s">
        <v>508</v>
      </c>
      <c r="G207" s="16" t="s">
        <v>519</v>
      </c>
      <c r="H207" s="16" t="s">
        <v>156</v>
      </c>
      <c r="I207" s="16" t="s">
        <v>587</v>
      </c>
      <c r="J207" s="16" t="s">
        <v>158</v>
      </c>
      <c r="K207" s="21">
        <v>46290</v>
      </c>
    </row>
    <row r="208" ht="69" customHeight="1" spans="1:11" x14ac:dyDescent="0.25">
      <c r="A208" s="17" t="s">
        <v>149</v>
      </c>
      <c r="B208" s="17" t="s">
        <v>150</v>
      </c>
      <c r="C208" s="18" t="s">
        <v>152</v>
      </c>
      <c r="D208" s="16" t="s">
        <v>520</v>
      </c>
      <c r="E208" s="16">
        <v>14</v>
      </c>
      <c r="F208" s="16" t="s">
        <v>508</v>
      </c>
      <c r="G208" s="16" t="s">
        <v>519</v>
      </c>
      <c r="H208" s="16" t="s">
        <v>156</v>
      </c>
      <c r="I208" s="16" t="s">
        <v>587</v>
      </c>
      <c r="J208" s="16" t="s">
        <v>158</v>
      </c>
      <c r="K208" s="21">
        <v>46290</v>
      </c>
    </row>
    <row r="209" ht="69" customHeight="1" spans="1:11" x14ac:dyDescent="0.25">
      <c r="A209" s="17" t="s">
        <v>149</v>
      </c>
      <c r="B209" s="17" t="s">
        <v>150</v>
      </c>
      <c r="C209" s="18" t="s">
        <v>152</v>
      </c>
      <c r="D209" s="16" t="s">
        <v>516</v>
      </c>
      <c r="E209" s="16">
        <v>2914</v>
      </c>
      <c r="F209" s="16" t="s">
        <v>515</v>
      </c>
      <c r="G209" s="16" t="s">
        <v>521</v>
      </c>
      <c r="H209" s="16" t="s">
        <v>522</v>
      </c>
      <c r="I209" s="16" t="s">
        <v>587</v>
      </c>
      <c r="J209" s="16" t="s">
        <v>158</v>
      </c>
      <c r="K209" s="21">
        <v>46290</v>
      </c>
    </row>
    <row r="210" ht="69" customHeight="1" spans="1:11" x14ac:dyDescent="0.25">
      <c r="A210" s="17" t="s">
        <v>149</v>
      </c>
      <c r="B210" s="17" t="s">
        <v>150</v>
      </c>
      <c r="C210" s="18" t="s">
        <v>152</v>
      </c>
      <c r="D210" s="16" t="s">
        <v>523</v>
      </c>
      <c r="E210" s="16">
        <v>387</v>
      </c>
      <c r="F210" s="16" t="s">
        <v>524</v>
      </c>
      <c r="G210" s="16" t="s">
        <v>521</v>
      </c>
      <c r="H210" s="16" t="s">
        <v>525</v>
      </c>
      <c r="I210" s="16" t="s">
        <v>587</v>
      </c>
      <c r="J210" s="16" t="s">
        <v>158</v>
      </c>
      <c r="K210" s="21">
        <v>46290</v>
      </c>
    </row>
    <row r="211" ht="69" customHeight="1" spans="1:11" x14ac:dyDescent="0.25">
      <c r="A211" s="17" t="s">
        <v>149</v>
      </c>
      <c r="B211" s="17" t="s">
        <v>150</v>
      </c>
      <c r="C211" s="18" t="s">
        <v>152</v>
      </c>
      <c r="D211" s="16" t="s">
        <v>277</v>
      </c>
      <c r="E211" s="16" t="s">
        <v>330</v>
      </c>
      <c r="F211" s="16"/>
      <c r="G211" s="16" t="s">
        <v>528</v>
      </c>
      <c r="H211" s="16"/>
      <c r="I211" s="16" t="s">
        <v>332</v>
      </c>
      <c r="J211" s="16" t="s">
        <v>157</v>
      </c>
      <c r="K211" s="21">
        <v>46290</v>
      </c>
    </row>
    <row r="212" ht="69" customHeight="1" spans="1:11" x14ac:dyDescent="0.25">
      <c r="A212" s="17" t="s">
        <v>149</v>
      </c>
      <c r="B212" s="17" t="s">
        <v>150</v>
      </c>
      <c r="C212" s="18" t="s">
        <v>152</v>
      </c>
      <c r="D212" s="16" t="s">
        <v>278</v>
      </c>
      <c r="E212" s="16" t="s">
        <v>331</v>
      </c>
      <c r="F212" s="16"/>
      <c r="G212" s="16" t="s">
        <v>529</v>
      </c>
      <c r="H212" s="16"/>
      <c r="I212" s="16" t="s">
        <v>332</v>
      </c>
      <c r="J212" s="16" t="s">
        <v>157</v>
      </c>
      <c r="K212" s="21">
        <v>46290</v>
      </c>
    </row>
    <row r="213" ht="69" customHeight="1" spans="1:11" x14ac:dyDescent="0.25">
      <c r="A213" s="17" t="s">
        <v>160</v>
      </c>
      <c r="B213" s="17" t="s">
        <v>161</v>
      </c>
      <c r="C213" s="18" t="s">
        <v>163</v>
      </c>
      <c r="D213" s="16" t="s">
        <v>489</v>
      </c>
      <c r="E213" s="16" t="s">
        <v>160</v>
      </c>
      <c r="F213" s="16"/>
      <c r="G213" s="16" t="s">
        <v>490</v>
      </c>
      <c r="H213" s="16" t="s">
        <v>491</v>
      </c>
      <c r="I213" s="16" t="s">
        <v>451</v>
      </c>
      <c r="J213" s="16" t="s">
        <v>452</v>
      </c>
      <c r="K213" s="21">
        <v>46290</v>
      </c>
    </row>
    <row r="214" ht="69" customHeight="1" spans="1:11" x14ac:dyDescent="0.25">
      <c r="A214" s="17" t="s">
        <v>160</v>
      </c>
      <c r="B214" s="17" t="s">
        <v>161</v>
      </c>
      <c r="C214" s="18" t="s">
        <v>163</v>
      </c>
      <c r="D214" s="16" t="s">
        <v>492</v>
      </c>
      <c r="E214" s="16" t="s">
        <v>161</v>
      </c>
      <c r="F214" s="16"/>
      <c r="G214" s="16" t="s">
        <v>493</v>
      </c>
      <c r="H214" s="16" t="s">
        <v>494</v>
      </c>
      <c r="I214" s="16" t="s">
        <v>589</v>
      </c>
      <c r="J214" s="16" t="s">
        <v>169</v>
      </c>
      <c r="K214" s="21">
        <v>46290</v>
      </c>
    </row>
    <row r="215" ht="69" customHeight="1" spans="1:11" x14ac:dyDescent="0.25">
      <c r="A215" s="17" t="s">
        <v>160</v>
      </c>
      <c r="B215" s="17" t="s">
        <v>161</v>
      </c>
      <c r="C215" s="18" t="s">
        <v>163</v>
      </c>
      <c r="D215" s="16" t="s">
        <v>499</v>
      </c>
      <c r="E215" s="16">
        <v>2016</v>
      </c>
      <c r="F215" s="16" t="s">
        <v>500</v>
      </c>
      <c r="G215" s="16" t="s">
        <v>388</v>
      </c>
      <c r="H215" s="16" t="s">
        <v>501</v>
      </c>
      <c r="I215" s="16" t="s">
        <v>589</v>
      </c>
      <c r="J215" s="16" t="s">
        <v>169</v>
      </c>
      <c r="K215" s="21">
        <v>46290</v>
      </c>
    </row>
    <row r="216" ht="69" customHeight="1" spans="1:11" x14ac:dyDescent="0.25">
      <c r="A216" s="17" t="s">
        <v>160</v>
      </c>
      <c r="B216" s="17" t="s">
        <v>161</v>
      </c>
      <c r="C216" s="18" t="s">
        <v>163</v>
      </c>
      <c r="D216" s="16" t="s">
        <v>41</v>
      </c>
      <c r="E216" s="16" t="s">
        <v>163</v>
      </c>
      <c r="F216" s="16"/>
      <c r="G216" s="16" t="s">
        <v>502</v>
      </c>
      <c r="H216" s="16" t="s">
        <v>503</v>
      </c>
      <c r="I216" s="16" t="s">
        <v>590</v>
      </c>
      <c r="J216" s="16" t="s">
        <v>170</v>
      </c>
      <c r="K216" s="21">
        <v>46290</v>
      </c>
    </row>
    <row r="217" ht="69" customHeight="1" spans="1:11" x14ac:dyDescent="0.25">
      <c r="A217" s="17" t="s">
        <v>160</v>
      </c>
      <c r="B217" s="17" t="s">
        <v>161</v>
      </c>
      <c r="C217" s="18" t="s">
        <v>163</v>
      </c>
      <c r="D217" s="16" t="s">
        <v>42</v>
      </c>
      <c r="E217" s="16" t="s">
        <v>164</v>
      </c>
      <c r="F217" s="16"/>
      <c r="G217" s="16" t="s">
        <v>504</v>
      </c>
      <c r="H217" s="16" t="s">
        <v>167</v>
      </c>
      <c r="I217" s="16" t="s">
        <v>590</v>
      </c>
      <c r="J217" s="16" t="s">
        <v>170</v>
      </c>
      <c r="K217" s="21">
        <v>46290</v>
      </c>
    </row>
    <row r="218" ht="69" customHeight="1" spans="1:11" x14ac:dyDescent="0.25">
      <c r="A218" s="17" t="s">
        <v>160</v>
      </c>
      <c r="B218" s="17" t="s">
        <v>161</v>
      </c>
      <c r="C218" s="18" t="s">
        <v>163</v>
      </c>
      <c r="D218" s="16" t="s">
        <v>43</v>
      </c>
      <c r="E218" s="16" t="s">
        <v>165</v>
      </c>
      <c r="F218" s="16"/>
      <c r="G218" s="16" t="s">
        <v>504</v>
      </c>
      <c r="H218" s="16" t="s">
        <v>167</v>
      </c>
      <c r="I218" s="16" t="s">
        <v>590</v>
      </c>
      <c r="J218" s="16" t="s">
        <v>170</v>
      </c>
      <c r="K218" s="21">
        <v>46290</v>
      </c>
    </row>
    <row r="219" ht="69" customHeight="1" spans="1:11" x14ac:dyDescent="0.25">
      <c r="A219" s="17" t="s">
        <v>160</v>
      </c>
      <c r="B219" s="17" t="s">
        <v>161</v>
      </c>
      <c r="C219" s="18" t="s">
        <v>163</v>
      </c>
      <c r="D219" s="16" t="s">
        <v>505</v>
      </c>
      <c r="E219" s="16" t="s">
        <v>104</v>
      </c>
      <c r="F219" s="16"/>
      <c r="G219" s="16" t="s">
        <v>506</v>
      </c>
      <c r="H219" s="16" t="s">
        <v>167</v>
      </c>
      <c r="I219" s="16" t="s">
        <v>590</v>
      </c>
      <c r="J219" s="16" t="s">
        <v>170</v>
      </c>
      <c r="K219" s="21">
        <v>46290</v>
      </c>
    </row>
    <row r="220" ht="69" customHeight="1" spans="1:11" x14ac:dyDescent="0.25">
      <c r="A220" s="17" t="s">
        <v>160</v>
      </c>
      <c r="B220" s="17" t="s">
        <v>161</v>
      </c>
      <c r="C220" s="18" t="s">
        <v>163</v>
      </c>
      <c r="D220" s="16" t="s">
        <v>507</v>
      </c>
      <c r="E220" s="16">
        <v>85</v>
      </c>
      <c r="F220" s="16" t="s">
        <v>508</v>
      </c>
      <c r="G220" s="16" t="s">
        <v>509</v>
      </c>
      <c r="H220" s="16" t="s">
        <v>510</v>
      </c>
      <c r="I220" s="16" t="s">
        <v>589</v>
      </c>
      <c r="J220" s="16" t="s">
        <v>169</v>
      </c>
      <c r="K220" s="21">
        <v>46290</v>
      </c>
    </row>
    <row r="221" ht="69" customHeight="1" spans="1:11" x14ac:dyDescent="0.25">
      <c r="A221" s="17" t="s">
        <v>160</v>
      </c>
      <c r="B221" s="17" t="s">
        <v>161</v>
      </c>
      <c r="C221" s="18" t="s">
        <v>163</v>
      </c>
      <c r="D221" s="16" t="s">
        <v>511</v>
      </c>
      <c r="E221" s="16">
        <v>14.5</v>
      </c>
      <c r="F221" s="16" t="s">
        <v>508</v>
      </c>
      <c r="G221" s="16" t="s">
        <v>512</v>
      </c>
      <c r="H221" s="16" t="s">
        <v>513</v>
      </c>
      <c r="I221" s="16" t="s">
        <v>589</v>
      </c>
      <c r="J221" s="16" t="s">
        <v>169</v>
      </c>
      <c r="K221" s="21">
        <v>46290</v>
      </c>
    </row>
    <row r="222" ht="69" customHeight="1" spans="1:11" x14ac:dyDescent="0.25">
      <c r="A222" s="17" t="s">
        <v>160</v>
      </c>
      <c r="B222" s="17" t="s">
        <v>161</v>
      </c>
      <c r="C222" s="18" t="s">
        <v>163</v>
      </c>
      <c r="D222" s="16" t="s">
        <v>514</v>
      </c>
      <c r="E222" s="16">
        <v>1540</v>
      </c>
      <c r="F222" s="16" t="s">
        <v>515</v>
      </c>
      <c r="G222" s="16" t="s">
        <v>516</v>
      </c>
      <c r="H222" s="16" t="s">
        <v>168</v>
      </c>
      <c r="I222" s="16" t="s">
        <v>590</v>
      </c>
      <c r="J222" s="16" t="s">
        <v>170</v>
      </c>
      <c r="K222" s="21">
        <v>46290</v>
      </c>
    </row>
    <row r="223" ht="69" customHeight="1" spans="1:11" x14ac:dyDescent="0.25">
      <c r="A223" s="17" t="s">
        <v>160</v>
      </c>
      <c r="B223" s="17" t="s">
        <v>161</v>
      </c>
      <c r="C223" s="18" t="s">
        <v>163</v>
      </c>
      <c r="D223" s="16" t="s">
        <v>518</v>
      </c>
      <c r="E223" s="16">
        <v>85</v>
      </c>
      <c r="F223" s="16" t="s">
        <v>508</v>
      </c>
      <c r="G223" s="16" t="s">
        <v>519</v>
      </c>
      <c r="H223" s="16" t="s">
        <v>168</v>
      </c>
      <c r="I223" s="16" t="s">
        <v>590</v>
      </c>
      <c r="J223" s="16" t="s">
        <v>170</v>
      </c>
      <c r="K223" s="21">
        <v>46290</v>
      </c>
    </row>
    <row r="224" ht="69" customHeight="1" spans="1:11" x14ac:dyDescent="0.25">
      <c r="A224" s="17" t="s">
        <v>160</v>
      </c>
      <c r="B224" s="17" t="s">
        <v>161</v>
      </c>
      <c r="C224" s="18" t="s">
        <v>163</v>
      </c>
      <c r="D224" s="16" t="s">
        <v>520</v>
      </c>
      <c r="E224" s="16">
        <v>14.4</v>
      </c>
      <c r="F224" s="16" t="s">
        <v>508</v>
      </c>
      <c r="G224" s="16" t="s">
        <v>519</v>
      </c>
      <c r="H224" s="16" t="s">
        <v>168</v>
      </c>
      <c r="I224" s="16" t="s">
        <v>590</v>
      </c>
      <c r="J224" s="16" t="s">
        <v>170</v>
      </c>
      <c r="K224" s="21">
        <v>46290</v>
      </c>
    </row>
    <row r="225" ht="69" customHeight="1" spans="1:11" x14ac:dyDescent="0.25">
      <c r="A225" s="17" t="s">
        <v>160</v>
      </c>
      <c r="B225" s="17" t="s">
        <v>161</v>
      </c>
      <c r="C225" s="18" t="s">
        <v>163</v>
      </c>
      <c r="D225" s="16" t="s">
        <v>516</v>
      </c>
      <c r="E225" s="16">
        <v>1540</v>
      </c>
      <c r="F225" s="16" t="s">
        <v>515</v>
      </c>
      <c r="G225" s="16" t="s">
        <v>521</v>
      </c>
      <c r="H225" s="16" t="s">
        <v>522</v>
      </c>
      <c r="I225" s="16" t="s">
        <v>590</v>
      </c>
      <c r="J225" s="16" t="s">
        <v>170</v>
      </c>
      <c r="K225" s="21">
        <v>46290</v>
      </c>
    </row>
    <row r="226" ht="69" customHeight="1" spans="1:11" x14ac:dyDescent="0.25">
      <c r="A226" s="17" t="s">
        <v>160</v>
      </c>
      <c r="B226" s="17" t="s">
        <v>161</v>
      </c>
      <c r="C226" s="18" t="s">
        <v>163</v>
      </c>
      <c r="D226" s="16" t="s">
        <v>523</v>
      </c>
      <c r="E226" s="16">
        <v>199</v>
      </c>
      <c r="F226" s="16" t="s">
        <v>524</v>
      </c>
      <c r="G226" s="16" t="s">
        <v>521</v>
      </c>
      <c r="H226" s="16" t="s">
        <v>525</v>
      </c>
      <c r="I226" s="16" t="s">
        <v>590</v>
      </c>
      <c r="J226" s="16" t="s">
        <v>170</v>
      </c>
      <c r="K226" s="21">
        <v>46290</v>
      </c>
    </row>
    <row r="227" ht="69" customHeight="1" spans="1:11" x14ac:dyDescent="0.25">
      <c r="A227" s="17" t="s">
        <v>160</v>
      </c>
      <c r="B227" s="17" t="s">
        <v>161</v>
      </c>
      <c r="C227" s="18" t="s">
        <v>163</v>
      </c>
      <c r="D227" s="16" t="s">
        <v>543</v>
      </c>
      <c r="E227" s="16">
        <v>5.3</v>
      </c>
      <c r="F227" s="16" t="s">
        <v>508</v>
      </c>
      <c r="G227" s="16" t="s">
        <v>527</v>
      </c>
      <c r="H227" s="16" t="s">
        <v>591</v>
      </c>
      <c r="I227" s="16" t="s">
        <v>592</v>
      </c>
      <c r="J227" s="16" t="s">
        <v>593</v>
      </c>
      <c r="K227" s="21">
        <v>46290</v>
      </c>
    </row>
    <row r="228" ht="69" customHeight="1" spans="1:11" x14ac:dyDescent="0.25">
      <c r="A228" s="17" t="s">
        <v>160</v>
      </c>
      <c r="B228" s="17" t="s">
        <v>161</v>
      </c>
      <c r="C228" s="18" t="s">
        <v>163</v>
      </c>
      <c r="D228" s="16" t="s">
        <v>277</v>
      </c>
      <c r="E228" s="16" t="s">
        <v>333</v>
      </c>
      <c r="F228" s="16"/>
      <c r="G228" s="16" t="s">
        <v>528</v>
      </c>
      <c r="H228" s="16"/>
      <c r="I228" s="16" t="s">
        <v>589</v>
      </c>
      <c r="J228" s="16" t="s">
        <v>169</v>
      </c>
      <c r="K228" s="21">
        <v>46290</v>
      </c>
    </row>
    <row r="229" ht="69" customHeight="1" spans="1:11" x14ac:dyDescent="0.25">
      <c r="A229" s="17" t="s">
        <v>160</v>
      </c>
      <c r="B229" s="17" t="s">
        <v>161</v>
      </c>
      <c r="C229" s="18" t="s">
        <v>163</v>
      </c>
      <c r="D229" s="16" t="s">
        <v>278</v>
      </c>
      <c r="E229" s="16" t="s">
        <v>334</v>
      </c>
      <c r="F229" s="16"/>
      <c r="G229" s="16" t="s">
        <v>529</v>
      </c>
      <c r="H229" s="16"/>
      <c r="I229" s="16" t="s">
        <v>589</v>
      </c>
      <c r="J229" s="16" t="s">
        <v>169</v>
      </c>
      <c r="K229" s="21">
        <v>46290</v>
      </c>
    </row>
    <row r="230" ht="69" customHeight="1" spans="1:11" x14ac:dyDescent="0.25">
      <c r="A230" s="17" t="s">
        <v>160</v>
      </c>
      <c r="B230" s="17" t="s">
        <v>161</v>
      </c>
      <c r="C230" s="18" t="s">
        <v>163</v>
      </c>
      <c r="D230" s="16" t="s">
        <v>534</v>
      </c>
      <c r="E230" s="16">
        <v>12</v>
      </c>
      <c r="F230" s="16" t="s">
        <v>535</v>
      </c>
      <c r="G230" s="16" t="s">
        <v>527</v>
      </c>
      <c r="H230" s="16"/>
      <c r="I230" s="16" t="s">
        <v>592</v>
      </c>
      <c r="J230" s="16" t="s">
        <v>593</v>
      </c>
      <c r="K230" s="21">
        <v>46290</v>
      </c>
    </row>
    <row r="231" ht="69" customHeight="1" spans="1:11" x14ac:dyDescent="0.25">
      <c r="A231" s="17" t="s">
        <v>160</v>
      </c>
      <c r="B231" s="17" t="s">
        <v>161</v>
      </c>
      <c r="C231" s="18" t="s">
        <v>163</v>
      </c>
      <c r="D231" s="16" t="s">
        <v>536</v>
      </c>
      <c r="E231" s="16">
        <v>7</v>
      </c>
      <c r="F231" s="16" t="s">
        <v>537</v>
      </c>
      <c r="G231" s="16" t="s">
        <v>527</v>
      </c>
      <c r="H231" s="16"/>
      <c r="I231" s="16" t="s">
        <v>592</v>
      </c>
      <c r="J231" s="16" t="s">
        <v>593</v>
      </c>
      <c r="K231" s="21">
        <v>46290</v>
      </c>
    </row>
    <row r="232" ht="69" customHeight="1" spans="1:11" x14ac:dyDescent="0.25">
      <c r="A232" s="17" t="s">
        <v>160</v>
      </c>
      <c r="B232" s="17" t="s">
        <v>161</v>
      </c>
      <c r="C232" s="18" t="s">
        <v>163</v>
      </c>
      <c r="D232" s="16" t="s">
        <v>538</v>
      </c>
      <c r="E232" s="16">
        <v>17</v>
      </c>
      <c r="F232" s="16" t="s">
        <v>535</v>
      </c>
      <c r="G232" s="16" t="s">
        <v>527</v>
      </c>
      <c r="H232" s="16"/>
      <c r="I232" s="16" t="s">
        <v>592</v>
      </c>
      <c r="J232" s="16" t="s">
        <v>593</v>
      </c>
      <c r="K232" s="21">
        <v>46290</v>
      </c>
    </row>
    <row r="233" ht="69" customHeight="1" spans="1:11" x14ac:dyDescent="0.25">
      <c r="A233" s="17" t="s">
        <v>160</v>
      </c>
      <c r="B233" s="17" t="s">
        <v>161</v>
      </c>
      <c r="C233" s="18" t="s">
        <v>163</v>
      </c>
      <c r="D233" s="16" t="s">
        <v>594</v>
      </c>
      <c r="E233" s="16">
        <v>17</v>
      </c>
      <c r="F233" s="16" t="s">
        <v>531</v>
      </c>
      <c r="G233" s="16" t="s">
        <v>554</v>
      </c>
      <c r="H233" s="16" t="s">
        <v>595</v>
      </c>
      <c r="I233" s="16" t="s">
        <v>592</v>
      </c>
      <c r="J233" s="16" t="s">
        <v>593</v>
      </c>
      <c r="K233" s="21">
        <v>46290</v>
      </c>
    </row>
    <row r="234" ht="69" customHeight="1" spans="1:11" x14ac:dyDescent="0.25">
      <c r="A234" s="17" t="s">
        <v>160</v>
      </c>
      <c r="B234" s="17" t="s">
        <v>161</v>
      </c>
      <c r="C234" s="18" t="s">
        <v>163</v>
      </c>
      <c r="D234" s="16" t="s">
        <v>596</v>
      </c>
      <c r="E234" s="16">
        <v>86</v>
      </c>
      <c r="F234" s="16" t="s">
        <v>508</v>
      </c>
      <c r="G234" s="16" t="s">
        <v>554</v>
      </c>
      <c r="H234" s="16" t="s">
        <v>597</v>
      </c>
      <c r="I234" s="16" t="s">
        <v>592</v>
      </c>
      <c r="J234" s="16" t="s">
        <v>593</v>
      </c>
      <c r="K234" s="21">
        <v>46290</v>
      </c>
    </row>
    <row r="235" ht="69" customHeight="1" spans="1:11" x14ac:dyDescent="0.25">
      <c r="A235" s="17" t="s">
        <v>160</v>
      </c>
      <c r="B235" s="17" t="s">
        <v>161</v>
      </c>
      <c r="C235" s="18" t="s">
        <v>163</v>
      </c>
      <c r="D235" s="16" t="s">
        <v>598</v>
      </c>
      <c r="E235" s="16">
        <v>1538</v>
      </c>
      <c r="F235" s="16" t="s">
        <v>515</v>
      </c>
      <c r="G235" s="16" t="s">
        <v>554</v>
      </c>
      <c r="H235" s="16" t="s">
        <v>599</v>
      </c>
      <c r="I235" s="16" t="s">
        <v>592</v>
      </c>
      <c r="J235" s="16" t="s">
        <v>593</v>
      </c>
      <c r="K235" s="21">
        <v>46290</v>
      </c>
    </row>
    <row r="236" ht="69" customHeight="1" spans="1:11" x14ac:dyDescent="0.25">
      <c r="A236" s="17" t="s">
        <v>171</v>
      </c>
      <c r="B236" s="17" t="s">
        <v>172</v>
      </c>
      <c r="C236" s="18" t="s">
        <v>174</v>
      </c>
      <c r="D236" s="16" t="s">
        <v>489</v>
      </c>
      <c r="E236" s="16" t="s">
        <v>171</v>
      </c>
      <c r="F236" s="16"/>
      <c r="G236" s="16" t="s">
        <v>490</v>
      </c>
      <c r="H236" s="16" t="s">
        <v>491</v>
      </c>
      <c r="I236" s="16" t="s">
        <v>171</v>
      </c>
      <c r="J236" s="16" t="s">
        <v>455</v>
      </c>
      <c r="K236" s="21">
        <v>46290</v>
      </c>
    </row>
    <row r="237" ht="69" customHeight="1" spans="1:11" x14ac:dyDescent="0.25">
      <c r="A237" s="17" t="s">
        <v>171</v>
      </c>
      <c r="B237" s="17" t="s">
        <v>172</v>
      </c>
      <c r="C237" s="18" t="s">
        <v>174</v>
      </c>
      <c r="D237" s="16" t="s">
        <v>492</v>
      </c>
      <c r="E237" s="16" t="s">
        <v>172</v>
      </c>
      <c r="F237" s="16"/>
      <c r="G237" s="16" t="s">
        <v>493</v>
      </c>
      <c r="H237" s="16" t="s">
        <v>494</v>
      </c>
      <c r="I237" s="16" t="s">
        <v>600</v>
      </c>
      <c r="J237" s="16" t="s">
        <v>178</v>
      </c>
      <c r="K237" s="21">
        <v>46290</v>
      </c>
    </row>
    <row r="238" ht="69" customHeight="1" spans="1:11" x14ac:dyDescent="0.25">
      <c r="A238" s="17" t="s">
        <v>171</v>
      </c>
      <c r="B238" s="17" t="s">
        <v>172</v>
      </c>
      <c r="C238" s="18" t="s">
        <v>174</v>
      </c>
      <c r="D238" s="16" t="s">
        <v>499</v>
      </c>
      <c r="E238" s="16">
        <v>2018</v>
      </c>
      <c r="F238" s="16" t="s">
        <v>500</v>
      </c>
      <c r="G238" s="16" t="s">
        <v>388</v>
      </c>
      <c r="H238" s="16" t="s">
        <v>501</v>
      </c>
      <c r="I238" s="16" t="s">
        <v>600</v>
      </c>
      <c r="J238" s="16" t="s">
        <v>178</v>
      </c>
      <c r="K238" s="21">
        <v>46290</v>
      </c>
    </row>
    <row r="239" ht="69" customHeight="1" spans="1:11" x14ac:dyDescent="0.25">
      <c r="A239" s="17" t="s">
        <v>171</v>
      </c>
      <c r="B239" s="17" t="s">
        <v>172</v>
      </c>
      <c r="C239" s="18" t="s">
        <v>174</v>
      </c>
      <c r="D239" s="16" t="s">
        <v>41</v>
      </c>
      <c r="E239" s="16" t="s">
        <v>174</v>
      </c>
      <c r="F239" s="16"/>
      <c r="G239" s="16" t="s">
        <v>502</v>
      </c>
      <c r="H239" s="16" t="s">
        <v>503</v>
      </c>
      <c r="I239" s="16" t="s">
        <v>601</v>
      </c>
      <c r="J239" s="16" t="s">
        <v>179</v>
      </c>
      <c r="K239" s="21">
        <v>46290</v>
      </c>
    </row>
    <row r="240" ht="69" customHeight="1" spans="1:11" x14ac:dyDescent="0.25">
      <c r="A240" s="17" t="s">
        <v>171</v>
      </c>
      <c r="B240" s="17" t="s">
        <v>172</v>
      </c>
      <c r="C240" s="18" t="s">
        <v>174</v>
      </c>
      <c r="D240" s="16" t="s">
        <v>42</v>
      </c>
      <c r="E240" s="16" t="s">
        <v>175</v>
      </c>
      <c r="F240" s="16"/>
      <c r="G240" s="16" t="s">
        <v>504</v>
      </c>
      <c r="H240" s="16" t="s">
        <v>66</v>
      </c>
      <c r="I240" s="16" t="s">
        <v>601</v>
      </c>
      <c r="J240" s="16" t="s">
        <v>179</v>
      </c>
      <c r="K240" s="21">
        <v>46290</v>
      </c>
    </row>
    <row r="241" ht="69" customHeight="1" spans="1:11" x14ac:dyDescent="0.25">
      <c r="A241" s="17" t="s">
        <v>171</v>
      </c>
      <c r="B241" s="17" t="s">
        <v>172</v>
      </c>
      <c r="C241" s="18" t="s">
        <v>174</v>
      </c>
      <c r="D241" s="16" t="s">
        <v>43</v>
      </c>
      <c r="E241" s="16" t="s">
        <v>176</v>
      </c>
      <c r="F241" s="16"/>
      <c r="G241" s="16" t="s">
        <v>504</v>
      </c>
      <c r="H241" s="16" t="s">
        <v>66</v>
      </c>
      <c r="I241" s="16" t="s">
        <v>601</v>
      </c>
      <c r="J241" s="16" t="s">
        <v>179</v>
      </c>
      <c r="K241" s="21">
        <v>46290</v>
      </c>
    </row>
    <row r="242" ht="69" customHeight="1" spans="1:11" x14ac:dyDescent="0.25">
      <c r="A242" s="17" t="s">
        <v>171</v>
      </c>
      <c r="B242" s="17" t="s">
        <v>172</v>
      </c>
      <c r="C242" s="18" t="s">
        <v>174</v>
      </c>
      <c r="D242" s="16" t="s">
        <v>505</v>
      </c>
      <c r="E242" s="16" t="s">
        <v>104</v>
      </c>
      <c r="F242" s="16"/>
      <c r="G242" s="16" t="s">
        <v>506</v>
      </c>
      <c r="H242" s="16" t="s">
        <v>66</v>
      </c>
      <c r="I242" s="16" t="s">
        <v>601</v>
      </c>
      <c r="J242" s="16" t="s">
        <v>179</v>
      </c>
      <c r="K242" s="21">
        <v>46290</v>
      </c>
    </row>
    <row r="243" ht="69" customHeight="1" spans="1:11" x14ac:dyDescent="0.25">
      <c r="A243" s="17" t="s">
        <v>171</v>
      </c>
      <c r="B243" s="17" t="s">
        <v>172</v>
      </c>
      <c r="C243" s="18" t="s">
        <v>174</v>
      </c>
      <c r="D243" s="16" t="s">
        <v>507</v>
      </c>
      <c r="E243" s="16">
        <v>106.7</v>
      </c>
      <c r="F243" s="16" t="s">
        <v>508</v>
      </c>
      <c r="G243" s="16" t="s">
        <v>509</v>
      </c>
      <c r="H243" s="16" t="s">
        <v>510</v>
      </c>
      <c r="I243" s="16" t="s">
        <v>600</v>
      </c>
      <c r="J243" s="16" t="s">
        <v>178</v>
      </c>
      <c r="K243" s="21">
        <v>46290</v>
      </c>
    </row>
    <row r="244" ht="69" customHeight="1" spans="1:11" x14ac:dyDescent="0.25">
      <c r="A244" s="17" t="s">
        <v>171</v>
      </c>
      <c r="B244" s="17" t="s">
        <v>172</v>
      </c>
      <c r="C244" s="18" t="s">
        <v>174</v>
      </c>
      <c r="D244" s="16" t="s">
        <v>511</v>
      </c>
      <c r="E244" s="16">
        <v>15</v>
      </c>
      <c r="F244" s="16" t="s">
        <v>508</v>
      </c>
      <c r="G244" s="16" t="s">
        <v>512</v>
      </c>
      <c r="H244" s="16" t="s">
        <v>513</v>
      </c>
      <c r="I244" s="16" t="s">
        <v>600</v>
      </c>
      <c r="J244" s="16" t="s">
        <v>178</v>
      </c>
      <c r="K244" s="21">
        <v>46290</v>
      </c>
    </row>
    <row r="245" ht="69" customHeight="1" spans="1:11" x14ac:dyDescent="0.25">
      <c r="A245" s="17" t="s">
        <v>171</v>
      </c>
      <c r="B245" s="17" t="s">
        <v>172</v>
      </c>
      <c r="C245" s="18" t="s">
        <v>174</v>
      </c>
      <c r="D245" s="16" t="s">
        <v>514</v>
      </c>
      <c r="E245" s="16">
        <v>2864</v>
      </c>
      <c r="F245" s="16" t="s">
        <v>515</v>
      </c>
      <c r="G245" s="16" t="s">
        <v>516</v>
      </c>
      <c r="H245" s="16" t="s">
        <v>517</v>
      </c>
      <c r="I245" s="16" t="s">
        <v>601</v>
      </c>
      <c r="J245" s="16" t="s">
        <v>179</v>
      </c>
      <c r="K245" s="21">
        <v>46290</v>
      </c>
    </row>
    <row r="246" ht="69" customHeight="1" spans="1:11" x14ac:dyDescent="0.25">
      <c r="A246" s="17" t="s">
        <v>171</v>
      </c>
      <c r="B246" s="17" t="s">
        <v>172</v>
      </c>
      <c r="C246" s="18" t="s">
        <v>174</v>
      </c>
      <c r="D246" s="16" t="s">
        <v>518</v>
      </c>
      <c r="E246" s="16">
        <v>105</v>
      </c>
      <c r="F246" s="16" t="s">
        <v>508</v>
      </c>
      <c r="G246" s="16" t="s">
        <v>519</v>
      </c>
      <c r="H246" s="16" t="s">
        <v>177</v>
      </c>
      <c r="I246" s="16" t="s">
        <v>601</v>
      </c>
      <c r="J246" s="16" t="s">
        <v>179</v>
      </c>
      <c r="K246" s="21">
        <v>46290</v>
      </c>
    </row>
    <row r="247" ht="69" customHeight="1" spans="1:11" x14ac:dyDescent="0.25">
      <c r="A247" s="17" t="s">
        <v>171</v>
      </c>
      <c r="B247" s="17" t="s">
        <v>172</v>
      </c>
      <c r="C247" s="18" t="s">
        <v>174</v>
      </c>
      <c r="D247" s="16" t="s">
        <v>520</v>
      </c>
      <c r="E247" s="16">
        <v>14.98</v>
      </c>
      <c r="F247" s="16" t="s">
        <v>508</v>
      </c>
      <c r="G247" s="16" t="s">
        <v>519</v>
      </c>
      <c r="H247" s="16" t="s">
        <v>177</v>
      </c>
      <c r="I247" s="16" t="s">
        <v>601</v>
      </c>
      <c r="J247" s="16" t="s">
        <v>179</v>
      </c>
      <c r="K247" s="21">
        <v>46290</v>
      </c>
    </row>
    <row r="248" ht="69" customHeight="1" spans="1:11" x14ac:dyDescent="0.25">
      <c r="A248" s="17" t="s">
        <v>171</v>
      </c>
      <c r="B248" s="17" t="s">
        <v>172</v>
      </c>
      <c r="C248" s="18" t="s">
        <v>174</v>
      </c>
      <c r="D248" s="16" t="s">
        <v>516</v>
      </c>
      <c r="E248" s="16">
        <v>2864</v>
      </c>
      <c r="F248" s="16" t="s">
        <v>515</v>
      </c>
      <c r="G248" s="16" t="s">
        <v>521</v>
      </c>
      <c r="H248" s="16" t="s">
        <v>522</v>
      </c>
      <c r="I248" s="16" t="s">
        <v>601</v>
      </c>
      <c r="J248" s="16" t="s">
        <v>179</v>
      </c>
      <c r="K248" s="21">
        <v>46290</v>
      </c>
    </row>
    <row r="249" ht="69" customHeight="1" spans="1:11" x14ac:dyDescent="0.25">
      <c r="A249" s="17" t="s">
        <v>171</v>
      </c>
      <c r="B249" s="17" t="s">
        <v>172</v>
      </c>
      <c r="C249" s="18" t="s">
        <v>174</v>
      </c>
      <c r="D249" s="16" t="s">
        <v>602</v>
      </c>
      <c r="E249" s="16">
        <v>2018</v>
      </c>
      <c r="F249" s="16" t="s">
        <v>500</v>
      </c>
      <c r="G249" s="16" t="s">
        <v>603</v>
      </c>
      <c r="H249" s="16" t="s">
        <v>604</v>
      </c>
      <c r="I249" s="16" t="s">
        <v>601</v>
      </c>
      <c r="J249" s="16" t="s">
        <v>179</v>
      </c>
      <c r="K249" s="21">
        <v>46290</v>
      </c>
    </row>
    <row r="250" ht="69" customHeight="1" spans="1:11" x14ac:dyDescent="0.25">
      <c r="A250" s="17" t="s">
        <v>171</v>
      </c>
      <c r="B250" s="17" t="s">
        <v>172</v>
      </c>
      <c r="C250" s="18" t="s">
        <v>174</v>
      </c>
      <c r="D250" s="16" t="s">
        <v>523</v>
      </c>
      <c r="E250" s="16">
        <v>314</v>
      </c>
      <c r="F250" s="16" t="s">
        <v>524</v>
      </c>
      <c r="G250" s="16" t="s">
        <v>521</v>
      </c>
      <c r="H250" s="16" t="s">
        <v>525</v>
      </c>
      <c r="I250" s="16" t="s">
        <v>601</v>
      </c>
      <c r="J250" s="16" t="s">
        <v>179</v>
      </c>
      <c r="K250" s="21">
        <v>46290</v>
      </c>
    </row>
    <row r="251" ht="69" customHeight="1" spans="1:11" x14ac:dyDescent="0.25">
      <c r="A251" s="17" t="s">
        <v>171</v>
      </c>
      <c r="B251" s="17" t="s">
        <v>172</v>
      </c>
      <c r="C251" s="18" t="s">
        <v>174</v>
      </c>
      <c r="D251" s="16" t="s">
        <v>276</v>
      </c>
      <c r="E251" s="16" t="s">
        <v>605</v>
      </c>
      <c r="F251" s="16"/>
      <c r="G251" s="16" t="s">
        <v>606</v>
      </c>
      <c r="H251" s="16"/>
      <c r="I251" s="16" t="s">
        <v>607</v>
      </c>
      <c r="J251" s="16" t="s">
        <v>608</v>
      </c>
      <c r="K251" s="21">
        <v>46290</v>
      </c>
    </row>
    <row r="252" ht="69" customHeight="1" spans="1:11" x14ac:dyDescent="0.25">
      <c r="A252" s="17" t="s">
        <v>171</v>
      </c>
      <c r="B252" s="17" t="s">
        <v>172</v>
      </c>
      <c r="C252" s="18" t="s">
        <v>174</v>
      </c>
      <c r="D252" s="16" t="s">
        <v>277</v>
      </c>
      <c r="E252" s="16" t="s">
        <v>339</v>
      </c>
      <c r="F252" s="16"/>
      <c r="G252" s="16" t="s">
        <v>528</v>
      </c>
      <c r="H252" s="16"/>
      <c r="I252" s="16" t="s">
        <v>600</v>
      </c>
      <c r="J252" s="16" t="s">
        <v>178</v>
      </c>
      <c r="K252" s="21">
        <v>46290</v>
      </c>
    </row>
    <row r="253" ht="69" customHeight="1" spans="1:11" x14ac:dyDescent="0.25">
      <c r="A253" s="17" t="s">
        <v>171</v>
      </c>
      <c r="B253" s="17" t="s">
        <v>172</v>
      </c>
      <c r="C253" s="18" t="s">
        <v>174</v>
      </c>
      <c r="D253" s="16" t="s">
        <v>278</v>
      </c>
      <c r="E253" s="16" t="s">
        <v>609</v>
      </c>
      <c r="F253" s="16"/>
      <c r="G253" s="16" t="s">
        <v>529</v>
      </c>
      <c r="H253" s="16"/>
      <c r="I253" s="16" t="s">
        <v>600</v>
      </c>
      <c r="J253" s="16" t="s">
        <v>178</v>
      </c>
      <c r="K253" s="21">
        <v>46290</v>
      </c>
    </row>
    <row r="254" ht="69" customHeight="1" spans="1:11" x14ac:dyDescent="0.25">
      <c r="A254" s="17" t="s">
        <v>171</v>
      </c>
      <c r="B254" s="17" t="s">
        <v>172</v>
      </c>
      <c r="C254" s="18" t="s">
        <v>174</v>
      </c>
      <c r="D254" s="16" t="s">
        <v>610</v>
      </c>
      <c r="E254" s="16" t="s">
        <v>341</v>
      </c>
      <c r="F254" s="16"/>
      <c r="G254" s="16" t="s">
        <v>527</v>
      </c>
      <c r="H254" s="16"/>
      <c r="I254" s="16" t="s">
        <v>607</v>
      </c>
      <c r="J254" s="16" t="s">
        <v>608</v>
      </c>
      <c r="K254" s="21">
        <v>46290</v>
      </c>
    </row>
    <row r="255" ht="69" customHeight="1" spans="1:11" x14ac:dyDescent="0.25">
      <c r="A255" s="17" t="s">
        <v>171</v>
      </c>
      <c r="B255" s="17" t="s">
        <v>172</v>
      </c>
      <c r="C255" s="18" t="s">
        <v>174</v>
      </c>
      <c r="D255" s="16" t="s">
        <v>611</v>
      </c>
      <c r="E255" s="16">
        <v>30</v>
      </c>
      <c r="F255" s="16" t="s">
        <v>531</v>
      </c>
      <c r="G255" s="16" t="s">
        <v>612</v>
      </c>
      <c r="H255" s="16" t="s">
        <v>613</v>
      </c>
      <c r="I255" s="16" t="s">
        <v>600</v>
      </c>
      <c r="J255" s="16" t="s">
        <v>178</v>
      </c>
      <c r="K255" s="21">
        <v>46290</v>
      </c>
    </row>
    <row r="256" ht="69" customHeight="1" spans="1:11" x14ac:dyDescent="0.25">
      <c r="A256" s="17" t="s">
        <v>171</v>
      </c>
      <c r="B256" s="17" t="s">
        <v>172</v>
      </c>
      <c r="C256" s="18" t="s">
        <v>174</v>
      </c>
      <c r="D256" s="16" t="s">
        <v>614</v>
      </c>
      <c r="E256" s="16">
        <v>2877</v>
      </c>
      <c r="F256" s="16" t="s">
        <v>615</v>
      </c>
      <c r="G256" s="16" t="s">
        <v>616</v>
      </c>
      <c r="H256" s="16"/>
      <c r="I256" s="16" t="s">
        <v>600</v>
      </c>
      <c r="J256" s="16" t="s">
        <v>178</v>
      </c>
      <c r="K256" s="21">
        <v>46290</v>
      </c>
    </row>
    <row r="257" ht="69" customHeight="1" spans="1:11" x14ac:dyDescent="0.25">
      <c r="A257" s="17" t="s">
        <v>180</v>
      </c>
      <c r="B257" s="17" t="s">
        <v>181</v>
      </c>
      <c r="C257" s="18" t="s">
        <v>183</v>
      </c>
      <c r="D257" s="16" t="s">
        <v>489</v>
      </c>
      <c r="E257" s="16" t="s">
        <v>180</v>
      </c>
      <c r="F257" s="16"/>
      <c r="G257" s="16" t="s">
        <v>490</v>
      </c>
      <c r="H257" s="16" t="s">
        <v>491</v>
      </c>
      <c r="I257" s="16" t="s">
        <v>451</v>
      </c>
      <c r="J257" s="16" t="s">
        <v>452</v>
      </c>
      <c r="K257" s="21">
        <v>46290</v>
      </c>
    </row>
    <row r="258" ht="69" customHeight="1" spans="1:11" x14ac:dyDescent="0.25">
      <c r="A258" s="17" t="s">
        <v>180</v>
      </c>
      <c r="B258" s="17" t="s">
        <v>181</v>
      </c>
      <c r="C258" s="18" t="s">
        <v>183</v>
      </c>
      <c r="D258" s="16" t="s">
        <v>492</v>
      </c>
      <c r="E258" s="16" t="s">
        <v>181</v>
      </c>
      <c r="F258" s="16"/>
      <c r="G258" s="16" t="s">
        <v>493</v>
      </c>
      <c r="H258" s="16" t="s">
        <v>494</v>
      </c>
      <c r="I258" s="16" t="s">
        <v>617</v>
      </c>
      <c r="J258" s="16" t="s">
        <v>188</v>
      </c>
      <c r="K258" s="21">
        <v>46290</v>
      </c>
    </row>
    <row r="259" ht="69" customHeight="1" spans="1:11" x14ac:dyDescent="0.25">
      <c r="A259" s="17" t="s">
        <v>180</v>
      </c>
      <c r="B259" s="17" t="s">
        <v>181</v>
      </c>
      <c r="C259" s="18" t="s">
        <v>183</v>
      </c>
      <c r="D259" s="16" t="s">
        <v>38</v>
      </c>
      <c r="E259" s="16" t="s">
        <v>182</v>
      </c>
      <c r="F259" s="16"/>
      <c r="G259" s="16" t="s">
        <v>496</v>
      </c>
      <c r="H259" s="16" t="s">
        <v>497</v>
      </c>
      <c r="I259" s="16" t="s">
        <v>618</v>
      </c>
      <c r="J259" s="16" t="s">
        <v>189</v>
      </c>
      <c r="K259" s="21">
        <v>46290</v>
      </c>
    </row>
    <row r="260" ht="69" customHeight="1" spans="1:11" x14ac:dyDescent="0.25">
      <c r="A260" s="17" t="s">
        <v>180</v>
      </c>
      <c r="B260" s="17" t="s">
        <v>181</v>
      </c>
      <c r="C260" s="18" t="s">
        <v>183</v>
      </c>
      <c r="D260" s="16" t="s">
        <v>499</v>
      </c>
      <c r="E260" s="16">
        <v>2017</v>
      </c>
      <c r="F260" s="16" t="s">
        <v>500</v>
      </c>
      <c r="G260" s="16" t="s">
        <v>388</v>
      </c>
      <c r="H260" s="16" t="s">
        <v>501</v>
      </c>
      <c r="I260" s="16" t="s">
        <v>617</v>
      </c>
      <c r="J260" s="16" t="s">
        <v>188</v>
      </c>
      <c r="K260" s="21">
        <v>46290</v>
      </c>
    </row>
    <row r="261" ht="69" customHeight="1" spans="1:11" x14ac:dyDescent="0.25">
      <c r="A261" s="17" t="s">
        <v>180</v>
      </c>
      <c r="B261" s="17" t="s">
        <v>181</v>
      </c>
      <c r="C261" s="18" t="s">
        <v>183</v>
      </c>
      <c r="D261" s="16" t="s">
        <v>41</v>
      </c>
      <c r="E261" s="16" t="s">
        <v>183</v>
      </c>
      <c r="F261" s="16"/>
      <c r="G261" s="16" t="s">
        <v>502</v>
      </c>
      <c r="H261" s="16" t="s">
        <v>503</v>
      </c>
      <c r="I261" s="16" t="s">
        <v>618</v>
      </c>
      <c r="J261" s="16" t="s">
        <v>189</v>
      </c>
      <c r="K261" s="21">
        <v>46290</v>
      </c>
    </row>
    <row r="262" ht="69" customHeight="1" spans="1:11" x14ac:dyDescent="0.25">
      <c r="A262" s="17" t="s">
        <v>180</v>
      </c>
      <c r="B262" s="17" t="s">
        <v>181</v>
      </c>
      <c r="C262" s="18" t="s">
        <v>183</v>
      </c>
      <c r="D262" s="16" t="s">
        <v>42</v>
      </c>
      <c r="E262" s="16" t="s">
        <v>184</v>
      </c>
      <c r="F262" s="16"/>
      <c r="G262" s="16" t="s">
        <v>504</v>
      </c>
      <c r="H262" s="16" t="s">
        <v>66</v>
      </c>
      <c r="I262" s="16" t="s">
        <v>618</v>
      </c>
      <c r="J262" s="16" t="s">
        <v>189</v>
      </c>
      <c r="K262" s="21">
        <v>46290</v>
      </c>
    </row>
    <row r="263" ht="69" customHeight="1" spans="1:11" x14ac:dyDescent="0.25">
      <c r="A263" s="17" t="s">
        <v>180</v>
      </c>
      <c r="B263" s="17" t="s">
        <v>181</v>
      </c>
      <c r="C263" s="18" t="s">
        <v>183</v>
      </c>
      <c r="D263" s="16" t="s">
        <v>43</v>
      </c>
      <c r="E263" s="16" t="s">
        <v>185</v>
      </c>
      <c r="F263" s="16"/>
      <c r="G263" s="16" t="s">
        <v>504</v>
      </c>
      <c r="H263" s="16" t="s">
        <v>66</v>
      </c>
      <c r="I263" s="16" t="s">
        <v>618</v>
      </c>
      <c r="J263" s="16" t="s">
        <v>189</v>
      </c>
      <c r="K263" s="21">
        <v>46290</v>
      </c>
    </row>
    <row r="264" ht="69" customHeight="1" spans="1:11" x14ac:dyDescent="0.25">
      <c r="A264" s="17" t="s">
        <v>180</v>
      </c>
      <c r="B264" s="17" t="s">
        <v>181</v>
      </c>
      <c r="C264" s="18" t="s">
        <v>183</v>
      </c>
      <c r="D264" s="16" t="s">
        <v>505</v>
      </c>
      <c r="E264" s="16" t="s">
        <v>186</v>
      </c>
      <c r="F264" s="16"/>
      <c r="G264" s="16" t="s">
        <v>506</v>
      </c>
      <c r="H264" s="16" t="s">
        <v>66</v>
      </c>
      <c r="I264" s="16" t="s">
        <v>618</v>
      </c>
      <c r="J264" s="16" t="s">
        <v>189</v>
      </c>
      <c r="K264" s="21">
        <v>46290</v>
      </c>
    </row>
    <row r="265" ht="69" customHeight="1" spans="1:11" x14ac:dyDescent="0.25">
      <c r="A265" s="17" t="s">
        <v>180</v>
      </c>
      <c r="B265" s="17" t="s">
        <v>181</v>
      </c>
      <c r="C265" s="18" t="s">
        <v>183</v>
      </c>
      <c r="D265" s="16" t="s">
        <v>507</v>
      </c>
      <c r="E265" s="16">
        <v>110</v>
      </c>
      <c r="F265" s="16" t="s">
        <v>508</v>
      </c>
      <c r="G265" s="16" t="s">
        <v>509</v>
      </c>
      <c r="H265" s="16" t="s">
        <v>510</v>
      </c>
      <c r="I265" s="16" t="s">
        <v>617</v>
      </c>
      <c r="J265" s="16" t="s">
        <v>188</v>
      </c>
      <c r="K265" s="21">
        <v>46290</v>
      </c>
    </row>
    <row r="266" ht="69" customHeight="1" spans="1:11" x14ac:dyDescent="0.25">
      <c r="A266" s="17" t="s">
        <v>180</v>
      </c>
      <c r="B266" s="17" t="s">
        <v>181</v>
      </c>
      <c r="C266" s="18" t="s">
        <v>183</v>
      </c>
      <c r="D266" s="16" t="s">
        <v>511</v>
      </c>
      <c r="E266" s="16">
        <v>16.4</v>
      </c>
      <c r="F266" s="16" t="s">
        <v>508</v>
      </c>
      <c r="G266" s="16" t="s">
        <v>512</v>
      </c>
      <c r="H266" s="16" t="s">
        <v>513</v>
      </c>
      <c r="I266" s="16" t="s">
        <v>617</v>
      </c>
      <c r="J266" s="16" t="s">
        <v>188</v>
      </c>
      <c r="K266" s="21">
        <v>46290</v>
      </c>
    </row>
    <row r="267" ht="69" customHeight="1" spans="1:11" x14ac:dyDescent="0.25">
      <c r="A267" s="17" t="s">
        <v>180</v>
      </c>
      <c r="B267" s="17" t="s">
        <v>181</v>
      </c>
      <c r="C267" s="18" t="s">
        <v>183</v>
      </c>
      <c r="D267" s="16" t="s">
        <v>514</v>
      </c>
      <c r="E267" s="16">
        <v>4523</v>
      </c>
      <c r="F267" s="16" t="s">
        <v>515</v>
      </c>
      <c r="G267" s="16" t="s">
        <v>516</v>
      </c>
      <c r="H267" s="16" t="s">
        <v>517</v>
      </c>
      <c r="I267" s="16" t="s">
        <v>618</v>
      </c>
      <c r="J267" s="16" t="s">
        <v>189</v>
      </c>
      <c r="K267" s="21">
        <v>46290</v>
      </c>
    </row>
    <row r="268" ht="69" customHeight="1" spans="1:11" x14ac:dyDescent="0.25">
      <c r="A268" s="17" t="s">
        <v>180</v>
      </c>
      <c r="B268" s="17" t="s">
        <v>181</v>
      </c>
      <c r="C268" s="18" t="s">
        <v>183</v>
      </c>
      <c r="D268" s="16" t="s">
        <v>518</v>
      </c>
      <c r="E268" s="16">
        <v>105</v>
      </c>
      <c r="F268" s="16" t="s">
        <v>508</v>
      </c>
      <c r="G268" s="16" t="s">
        <v>519</v>
      </c>
      <c r="H268" s="16" t="s">
        <v>187</v>
      </c>
      <c r="I268" s="16" t="s">
        <v>618</v>
      </c>
      <c r="J268" s="16" t="s">
        <v>189</v>
      </c>
      <c r="K268" s="21">
        <v>46290</v>
      </c>
    </row>
    <row r="269" ht="69" customHeight="1" spans="1:11" x14ac:dyDescent="0.25">
      <c r="A269" s="17" t="s">
        <v>180</v>
      </c>
      <c r="B269" s="17" t="s">
        <v>181</v>
      </c>
      <c r="C269" s="18" t="s">
        <v>183</v>
      </c>
      <c r="D269" s="16" t="s">
        <v>520</v>
      </c>
      <c r="E269" s="16">
        <v>16</v>
      </c>
      <c r="F269" s="16" t="s">
        <v>508</v>
      </c>
      <c r="G269" s="16" t="s">
        <v>519</v>
      </c>
      <c r="H269" s="16" t="s">
        <v>187</v>
      </c>
      <c r="I269" s="16" t="s">
        <v>618</v>
      </c>
      <c r="J269" s="16" t="s">
        <v>189</v>
      </c>
      <c r="K269" s="21">
        <v>46290</v>
      </c>
    </row>
    <row r="270" ht="69" customHeight="1" spans="1:11" x14ac:dyDescent="0.25">
      <c r="A270" s="17" t="s">
        <v>180</v>
      </c>
      <c r="B270" s="17" t="s">
        <v>181</v>
      </c>
      <c r="C270" s="18" t="s">
        <v>183</v>
      </c>
      <c r="D270" s="16" t="s">
        <v>516</v>
      </c>
      <c r="E270" s="16">
        <v>4523</v>
      </c>
      <c r="F270" s="16" t="s">
        <v>515</v>
      </c>
      <c r="G270" s="16" t="s">
        <v>521</v>
      </c>
      <c r="H270" s="16" t="s">
        <v>522</v>
      </c>
      <c r="I270" s="16" t="s">
        <v>618</v>
      </c>
      <c r="J270" s="16" t="s">
        <v>189</v>
      </c>
      <c r="K270" s="21">
        <v>46290</v>
      </c>
    </row>
    <row r="271" ht="69" customHeight="1" spans="1:11" x14ac:dyDescent="0.25">
      <c r="A271" s="17" t="s">
        <v>180</v>
      </c>
      <c r="B271" s="17" t="s">
        <v>181</v>
      </c>
      <c r="C271" s="18" t="s">
        <v>183</v>
      </c>
      <c r="D271" s="16" t="s">
        <v>276</v>
      </c>
      <c r="E271" s="16" t="s">
        <v>344</v>
      </c>
      <c r="F271" s="16"/>
      <c r="G271" s="16" t="s">
        <v>606</v>
      </c>
      <c r="H271" s="16"/>
      <c r="I271" s="16" t="s">
        <v>619</v>
      </c>
      <c r="J271" s="16" t="s">
        <v>620</v>
      </c>
      <c r="K271" s="21">
        <v>46290</v>
      </c>
    </row>
    <row r="272" ht="69" customHeight="1" spans="1:11" x14ac:dyDescent="0.25">
      <c r="A272" s="17" t="s">
        <v>180</v>
      </c>
      <c r="B272" s="17" t="s">
        <v>181</v>
      </c>
      <c r="C272" s="18" t="s">
        <v>183</v>
      </c>
      <c r="D272" s="16" t="s">
        <v>277</v>
      </c>
      <c r="E272" s="16" t="s">
        <v>324</v>
      </c>
      <c r="F272" s="16"/>
      <c r="G272" s="16" t="s">
        <v>528</v>
      </c>
      <c r="H272" s="16"/>
      <c r="I272" s="16" t="s">
        <v>617</v>
      </c>
      <c r="J272" s="16" t="s">
        <v>188</v>
      </c>
      <c r="K272" s="21">
        <v>46290</v>
      </c>
    </row>
    <row r="273" ht="69" customHeight="1" spans="1:11" x14ac:dyDescent="0.25">
      <c r="A273" s="17" t="s">
        <v>180</v>
      </c>
      <c r="B273" s="17" t="s">
        <v>181</v>
      </c>
      <c r="C273" s="18" t="s">
        <v>183</v>
      </c>
      <c r="D273" s="16" t="s">
        <v>278</v>
      </c>
      <c r="E273" s="16" t="s">
        <v>621</v>
      </c>
      <c r="F273" s="16"/>
      <c r="G273" s="16" t="s">
        <v>529</v>
      </c>
      <c r="H273" s="16"/>
      <c r="I273" s="16" t="s">
        <v>617</v>
      </c>
      <c r="J273" s="16" t="s">
        <v>188</v>
      </c>
      <c r="K273" s="21">
        <v>46290</v>
      </c>
    </row>
    <row r="274" ht="69" customHeight="1" spans="1:11" x14ac:dyDescent="0.25">
      <c r="A274" s="17" t="s">
        <v>180</v>
      </c>
      <c r="B274" s="17" t="s">
        <v>181</v>
      </c>
      <c r="C274" s="18" t="s">
        <v>183</v>
      </c>
      <c r="D274" s="16" t="s">
        <v>534</v>
      </c>
      <c r="E274" s="16">
        <v>30</v>
      </c>
      <c r="F274" s="16" t="s">
        <v>535</v>
      </c>
      <c r="G274" s="16" t="s">
        <v>622</v>
      </c>
      <c r="H274" s="16"/>
      <c r="I274" s="16" t="s">
        <v>617</v>
      </c>
      <c r="J274" s="16" t="s">
        <v>188</v>
      </c>
      <c r="K274" s="21">
        <v>46290</v>
      </c>
    </row>
    <row r="275" ht="69" customHeight="1" spans="1:11" x14ac:dyDescent="0.25">
      <c r="A275" s="17" t="s">
        <v>190</v>
      </c>
      <c r="B275" s="17" t="s">
        <v>191</v>
      </c>
      <c r="C275" s="18" t="s">
        <v>192</v>
      </c>
      <c r="D275" s="16" t="s">
        <v>489</v>
      </c>
      <c r="E275" s="16" t="s">
        <v>190</v>
      </c>
      <c r="F275" s="16"/>
      <c r="G275" s="16" t="s">
        <v>490</v>
      </c>
      <c r="H275" s="16" t="s">
        <v>491</v>
      </c>
      <c r="I275" s="16" t="s">
        <v>190</v>
      </c>
      <c r="J275" s="16" t="s">
        <v>463</v>
      </c>
      <c r="K275" s="21">
        <v>46290</v>
      </c>
    </row>
    <row r="276" ht="69" customHeight="1" spans="1:11" x14ac:dyDescent="0.25">
      <c r="A276" s="17" t="s">
        <v>190</v>
      </c>
      <c r="B276" s="17" t="s">
        <v>191</v>
      </c>
      <c r="C276" s="18" t="s">
        <v>192</v>
      </c>
      <c r="D276" s="16" t="s">
        <v>492</v>
      </c>
      <c r="E276" s="16" t="s">
        <v>191</v>
      </c>
      <c r="F276" s="16"/>
      <c r="G276" s="16" t="s">
        <v>493</v>
      </c>
      <c r="H276" s="16" t="s">
        <v>494</v>
      </c>
      <c r="I276" s="16" t="s">
        <v>623</v>
      </c>
      <c r="J276" s="16" t="s">
        <v>196</v>
      </c>
      <c r="K276" s="21">
        <v>46290</v>
      </c>
    </row>
    <row r="277" ht="69" customHeight="1" spans="1:11" x14ac:dyDescent="0.25">
      <c r="A277" s="17" t="s">
        <v>190</v>
      </c>
      <c r="B277" s="17" t="s">
        <v>191</v>
      </c>
      <c r="C277" s="18" t="s">
        <v>192</v>
      </c>
      <c r="D277" s="16" t="s">
        <v>499</v>
      </c>
      <c r="E277" s="16">
        <v>2017</v>
      </c>
      <c r="F277" s="16" t="s">
        <v>500</v>
      </c>
      <c r="G277" s="16" t="s">
        <v>388</v>
      </c>
      <c r="H277" s="16" t="s">
        <v>501</v>
      </c>
      <c r="I277" s="16" t="s">
        <v>623</v>
      </c>
      <c r="J277" s="16" t="s">
        <v>196</v>
      </c>
      <c r="K277" s="21">
        <v>46290</v>
      </c>
    </row>
    <row r="278" ht="69" customHeight="1" spans="1:11" x14ac:dyDescent="0.25">
      <c r="A278" s="17" t="s">
        <v>190</v>
      </c>
      <c r="B278" s="17" t="s">
        <v>191</v>
      </c>
      <c r="C278" s="18" t="s">
        <v>192</v>
      </c>
      <c r="D278" s="16" t="s">
        <v>41</v>
      </c>
      <c r="E278" s="16" t="s">
        <v>192</v>
      </c>
      <c r="F278" s="16"/>
      <c r="G278" s="16" t="s">
        <v>502</v>
      </c>
      <c r="H278" s="16" t="s">
        <v>503</v>
      </c>
      <c r="I278" s="16" t="s">
        <v>624</v>
      </c>
      <c r="J278" s="16" t="s">
        <v>197</v>
      </c>
      <c r="K278" s="21">
        <v>46290</v>
      </c>
    </row>
    <row r="279" ht="69" customHeight="1" spans="1:11" x14ac:dyDescent="0.25">
      <c r="A279" s="17" t="s">
        <v>190</v>
      </c>
      <c r="B279" s="17" t="s">
        <v>191</v>
      </c>
      <c r="C279" s="18" t="s">
        <v>192</v>
      </c>
      <c r="D279" s="16" t="s">
        <v>42</v>
      </c>
      <c r="E279" s="16" t="s">
        <v>193</v>
      </c>
      <c r="F279" s="16"/>
      <c r="G279" s="16" t="s">
        <v>504</v>
      </c>
      <c r="H279" s="16" t="s">
        <v>66</v>
      </c>
      <c r="I279" s="16" t="s">
        <v>624</v>
      </c>
      <c r="J279" s="16" t="s">
        <v>197</v>
      </c>
      <c r="K279" s="21">
        <v>46290</v>
      </c>
    </row>
    <row r="280" ht="69" customHeight="1" spans="1:11" x14ac:dyDescent="0.25">
      <c r="A280" s="17" t="s">
        <v>190</v>
      </c>
      <c r="B280" s="17" t="s">
        <v>191</v>
      </c>
      <c r="C280" s="18" t="s">
        <v>192</v>
      </c>
      <c r="D280" s="16" t="s">
        <v>43</v>
      </c>
      <c r="E280" s="16" t="s">
        <v>194</v>
      </c>
      <c r="F280" s="16"/>
      <c r="G280" s="16" t="s">
        <v>504</v>
      </c>
      <c r="H280" s="16" t="s">
        <v>66</v>
      </c>
      <c r="I280" s="16" t="s">
        <v>624</v>
      </c>
      <c r="J280" s="16" t="s">
        <v>197</v>
      </c>
      <c r="K280" s="21">
        <v>46290</v>
      </c>
    </row>
    <row r="281" ht="69" customHeight="1" spans="1:11" x14ac:dyDescent="0.25">
      <c r="A281" s="17" t="s">
        <v>190</v>
      </c>
      <c r="B281" s="17" t="s">
        <v>191</v>
      </c>
      <c r="C281" s="18" t="s">
        <v>192</v>
      </c>
      <c r="D281" s="16" t="s">
        <v>505</v>
      </c>
      <c r="E281" s="16" t="s">
        <v>104</v>
      </c>
      <c r="F281" s="16"/>
      <c r="G281" s="16" t="s">
        <v>506</v>
      </c>
      <c r="H281" s="16" t="s">
        <v>66</v>
      </c>
      <c r="I281" s="16" t="s">
        <v>624</v>
      </c>
      <c r="J281" s="16" t="s">
        <v>197</v>
      </c>
      <c r="K281" s="21">
        <v>46290</v>
      </c>
    </row>
    <row r="282" ht="69" customHeight="1" spans="1:11" x14ac:dyDescent="0.25">
      <c r="A282" s="17" t="s">
        <v>190</v>
      </c>
      <c r="B282" s="17" t="s">
        <v>191</v>
      </c>
      <c r="C282" s="18" t="s">
        <v>192</v>
      </c>
      <c r="D282" s="16" t="s">
        <v>507</v>
      </c>
      <c r="E282" s="16">
        <v>88.5</v>
      </c>
      <c r="F282" s="16" t="s">
        <v>508</v>
      </c>
      <c r="G282" s="16" t="s">
        <v>509</v>
      </c>
      <c r="H282" s="16" t="s">
        <v>510</v>
      </c>
      <c r="I282" s="16" t="s">
        <v>623</v>
      </c>
      <c r="J282" s="16" t="s">
        <v>196</v>
      </c>
      <c r="K282" s="21">
        <v>46290</v>
      </c>
    </row>
    <row r="283" ht="69" customHeight="1" spans="1:11" x14ac:dyDescent="0.25">
      <c r="A283" s="17" t="s">
        <v>190</v>
      </c>
      <c r="B283" s="17" t="s">
        <v>191</v>
      </c>
      <c r="C283" s="18" t="s">
        <v>192</v>
      </c>
      <c r="D283" s="16" t="s">
        <v>511</v>
      </c>
      <c r="E283" s="16">
        <v>14.5</v>
      </c>
      <c r="F283" s="16" t="s">
        <v>508</v>
      </c>
      <c r="G283" s="16" t="s">
        <v>512</v>
      </c>
      <c r="H283" s="16" t="s">
        <v>513</v>
      </c>
      <c r="I283" s="16" t="s">
        <v>623</v>
      </c>
      <c r="J283" s="16" t="s">
        <v>196</v>
      </c>
      <c r="K283" s="21">
        <v>46290</v>
      </c>
    </row>
    <row r="284" ht="69" customHeight="1" spans="1:11" x14ac:dyDescent="0.25">
      <c r="A284" s="17" t="s">
        <v>190</v>
      </c>
      <c r="B284" s="17" t="s">
        <v>191</v>
      </c>
      <c r="C284" s="18" t="s">
        <v>192</v>
      </c>
      <c r="D284" s="16" t="s">
        <v>514</v>
      </c>
      <c r="E284" s="16">
        <v>2984</v>
      </c>
      <c r="F284" s="16" t="s">
        <v>515</v>
      </c>
      <c r="G284" s="16" t="s">
        <v>516</v>
      </c>
      <c r="H284" s="16" t="s">
        <v>517</v>
      </c>
      <c r="I284" s="16" t="s">
        <v>624</v>
      </c>
      <c r="J284" s="16" t="s">
        <v>197</v>
      </c>
      <c r="K284" s="21">
        <v>46290</v>
      </c>
    </row>
    <row r="285" ht="69" customHeight="1" spans="1:11" x14ac:dyDescent="0.25">
      <c r="A285" s="17" t="s">
        <v>190</v>
      </c>
      <c r="B285" s="17" t="s">
        <v>191</v>
      </c>
      <c r="C285" s="18" t="s">
        <v>192</v>
      </c>
      <c r="D285" s="16" t="s">
        <v>518</v>
      </c>
      <c r="E285" s="16">
        <v>88.5</v>
      </c>
      <c r="F285" s="16" t="s">
        <v>508</v>
      </c>
      <c r="G285" s="16" t="s">
        <v>519</v>
      </c>
      <c r="H285" s="16" t="s">
        <v>195</v>
      </c>
      <c r="I285" s="16" t="s">
        <v>624</v>
      </c>
      <c r="J285" s="16" t="s">
        <v>197</v>
      </c>
      <c r="K285" s="21">
        <v>46290</v>
      </c>
    </row>
    <row r="286" ht="69" customHeight="1" spans="1:11" x14ac:dyDescent="0.25">
      <c r="A286" s="17" t="s">
        <v>190</v>
      </c>
      <c r="B286" s="17" t="s">
        <v>191</v>
      </c>
      <c r="C286" s="18" t="s">
        <v>192</v>
      </c>
      <c r="D286" s="16" t="s">
        <v>520</v>
      </c>
      <c r="E286" s="16">
        <v>14.45</v>
      </c>
      <c r="F286" s="16" t="s">
        <v>508</v>
      </c>
      <c r="G286" s="16" t="s">
        <v>519</v>
      </c>
      <c r="H286" s="16" t="s">
        <v>195</v>
      </c>
      <c r="I286" s="16" t="s">
        <v>624</v>
      </c>
      <c r="J286" s="16" t="s">
        <v>197</v>
      </c>
      <c r="K286" s="21">
        <v>46290</v>
      </c>
    </row>
    <row r="287" ht="69" customHeight="1" spans="1:11" x14ac:dyDescent="0.25">
      <c r="A287" s="17" t="s">
        <v>190</v>
      </c>
      <c r="B287" s="17" t="s">
        <v>191</v>
      </c>
      <c r="C287" s="18" t="s">
        <v>192</v>
      </c>
      <c r="D287" s="16" t="s">
        <v>516</v>
      </c>
      <c r="E287" s="16">
        <v>2984</v>
      </c>
      <c r="F287" s="16" t="s">
        <v>515</v>
      </c>
      <c r="G287" s="16" t="s">
        <v>521</v>
      </c>
      <c r="H287" s="16" t="s">
        <v>522</v>
      </c>
      <c r="I287" s="16" t="s">
        <v>624</v>
      </c>
      <c r="J287" s="16" t="s">
        <v>197</v>
      </c>
      <c r="K287" s="21">
        <v>46290</v>
      </c>
    </row>
    <row r="288" ht="69" customHeight="1" spans="1:11" x14ac:dyDescent="0.25">
      <c r="A288" s="17" t="s">
        <v>190</v>
      </c>
      <c r="B288" s="17" t="s">
        <v>191</v>
      </c>
      <c r="C288" s="18" t="s">
        <v>192</v>
      </c>
      <c r="D288" s="16" t="s">
        <v>523</v>
      </c>
      <c r="E288" s="16">
        <v>455</v>
      </c>
      <c r="F288" s="16" t="s">
        <v>524</v>
      </c>
      <c r="G288" s="16" t="s">
        <v>521</v>
      </c>
      <c r="H288" s="16" t="s">
        <v>525</v>
      </c>
      <c r="I288" s="16" t="s">
        <v>624</v>
      </c>
      <c r="J288" s="16" t="s">
        <v>197</v>
      </c>
      <c r="K288" s="21">
        <v>46290</v>
      </c>
    </row>
    <row r="289" ht="69" customHeight="1" spans="1:11" x14ac:dyDescent="0.25">
      <c r="A289" s="17" t="s">
        <v>190</v>
      </c>
      <c r="B289" s="17" t="s">
        <v>191</v>
      </c>
      <c r="C289" s="18" t="s">
        <v>192</v>
      </c>
      <c r="D289" s="16" t="s">
        <v>543</v>
      </c>
      <c r="E289" s="16">
        <v>3.95</v>
      </c>
      <c r="F289" s="16" t="s">
        <v>508</v>
      </c>
      <c r="G289" s="16" t="s">
        <v>625</v>
      </c>
      <c r="H289" s="16" t="s">
        <v>626</v>
      </c>
      <c r="I289" s="16" t="s">
        <v>190</v>
      </c>
      <c r="J289" s="16" t="s">
        <v>463</v>
      </c>
      <c r="K289" s="21">
        <v>46290</v>
      </c>
    </row>
    <row r="290" ht="69" customHeight="1" spans="1:11" x14ac:dyDescent="0.25">
      <c r="A290" s="17" t="s">
        <v>190</v>
      </c>
      <c r="B290" s="17" t="s">
        <v>191</v>
      </c>
      <c r="C290" s="18" t="s">
        <v>192</v>
      </c>
      <c r="D290" s="16" t="s">
        <v>526</v>
      </c>
      <c r="E290" s="16" t="s">
        <v>294</v>
      </c>
      <c r="F290" s="16"/>
      <c r="G290" s="16" t="s">
        <v>625</v>
      </c>
      <c r="H290" s="16" t="s">
        <v>626</v>
      </c>
      <c r="I290" s="16" t="s">
        <v>190</v>
      </c>
      <c r="J290" s="16" t="s">
        <v>463</v>
      </c>
      <c r="K290" s="21">
        <v>46290</v>
      </c>
    </row>
    <row r="291" ht="69" customHeight="1" spans="1:11" x14ac:dyDescent="0.25">
      <c r="A291" s="17" t="s">
        <v>190</v>
      </c>
      <c r="B291" s="17" t="s">
        <v>191</v>
      </c>
      <c r="C291" s="18" t="s">
        <v>192</v>
      </c>
      <c r="D291" s="16" t="s">
        <v>571</v>
      </c>
      <c r="E291" s="16" t="s">
        <v>315</v>
      </c>
      <c r="F291" s="16"/>
      <c r="G291" s="16" t="s">
        <v>625</v>
      </c>
      <c r="H291" s="16" t="s">
        <v>626</v>
      </c>
      <c r="I291" s="16" t="s">
        <v>190</v>
      </c>
      <c r="J291" s="16" t="s">
        <v>463</v>
      </c>
      <c r="K291" s="21">
        <v>46290</v>
      </c>
    </row>
    <row r="292" ht="69" customHeight="1" spans="1:11" x14ac:dyDescent="0.25">
      <c r="A292" s="17" t="s">
        <v>190</v>
      </c>
      <c r="B292" s="17" t="s">
        <v>191</v>
      </c>
      <c r="C292" s="18" t="s">
        <v>192</v>
      </c>
      <c r="D292" s="16" t="s">
        <v>277</v>
      </c>
      <c r="E292" s="16" t="s">
        <v>309</v>
      </c>
      <c r="F292" s="16"/>
      <c r="G292" s="16" t="s">
        <v>528</v>
      </c>
      <c r="H292" s="16"/>
      <c r="I292" s="16" t="s">
        <v>623</v>
      </c>
      <c r="J292" s="16" t="s">
        <v>196</v>
      </c>
      <c r="K292" s="21">
        <v>46290</v>
      </c>
    </row>
    <row r="293" ht="69" customHeight="1" spans="1:11" x14ac:dyDescent="0.25">
      <c r="A293" s="17" t="s">
        <v>190</v>
      </c>
      <c r="B293" s="17" t="s">
        <v>191</v>
      </c>
      <c r="C293" s="18" t="s">
        <v>192</v>
      </c>
      <c r="D293" s="16" t="s">
        <v>278</v>
      </c>
      <c r="E293" s="16" t="s">
        <v>309</v>
      </c>
      <c r="F293" s="16"/>
      <c r="G293" s="16" t="s">
        <v>529</v>
      </c>
      <c r="H293" s="16"/>
      <c r="I293" s="16" t="s">
        <v>623</v>
      </c>
      <c r="J293" s="16" t="s">
        <v>196</v>
      </c>
      <c r="K293" s="21">
        <v>46290</v>
      </c>
    </row>
    <row r="294" ht="69" customHeight="1" spans="1:11" x14ac:dyDescent="0.25">
      <c r="A294" s="17" t="s">
        <v>190</v>
      </c>
      <c r="B294" s="17" t="s">
        <v>191</v>
      </c>
      <c r="C294" s="18" t="s">
        <v>192</v>
      </c>
      <c r="D294" s="16" t="s">
        <v>530</v>
      </c>
      <c r="E294" s="16">
        <v>16</v>
      </c>
      <c r="F294" s="16" t="s">
        <v>531</v>
      </c>
      <c r="G294" s="16" t="s">
        <v>625</v>
      </c>
      <c r="H294" s="16" t="s">
        <v>626</v>
      </c>
      <c r="I294" s="16" t="s">
        <v>190</v>
      </c>
      <c r="J294" s="16" t="s">
        <v>463</v>
      </c>
      <c r="K294" s="21">
        <v>46290</v>
      </c>
    </row>
    <row r="295" ht="69" customHeight="1" spans="1:11" x14ac:dyDescent="0.25">
      <c r="A295" s="17" t="s">
        <v>190</v>
      </c>
      <c r="B295" s="17" t="s">
        <v>191</v>
      </c>
      <c r="C295" s="18" t="s">
        <v>192</v>
      </c>
      <c r="D295" s="16" t="s">
        <v>532</v>
      </c>
      <c r="E295" s="16">
        <v>19</v>
      </c>
      <c r="F295" s="16" t="s">
        <v>531</v>
      </c>
      <c r="G295" s="16" t="s">
        <v>625</v>
      </c>
      <c r="H295" s="16" t="s">
        <v>626</v>
      </c>
      <c r="I295" s="16" t="s">
        <v>190</v>
      </c>
      <c r="J295" s="16" t="s">
        <v>463</v>
      </c>
      <c r="K295" s="21">
        <v>46290</v>
      </c>
    </row>
    <row r="296" ht="69" customHeight="1" spans="1:11" x14ac:dyDescent="0.25">
      <c r="A296" s="17" t="s">
        <v>190</v>
      </c>
      <c r="B296" s="17" t="s">
        <v>191</v>
      </c>
      <c r="C296" s="18" t="s">
        <v>192</v>
      </c>
      <c r="D296" s="16" t="s">
        <v>534</v>
      </c>
      <c r="E296" s="16">
        <v>12</v>
      </c>
      <c r="F296" s="16" t="s">
        <v>535</v>
      </c>
      <c r="G296" s="16" t="s">
        <v>625</v>
      </c>
      <c r="H296" s="16" t="s">
        <v>626</v>
      </c>
      <c r="I296" s="16" t="s">
        <v>190</v>
      </c>
      <c r="J296" s="16" t="s">
        <v>463</v>
      </c>
      <c r="K296" s="21">
        <v>46290</v>
      </c>
    </row>
    <row r="297" ht="69" customHeight="1" spans="1:11" x14ac:dyDescent="0.25">
      <c r="A297" s="17" t="s">
        <v>190</v>
      </c>
      <c r="B297" s="17" t="s">
        <v>191</v>
      </c>
      <c r="C297" s="18" t="s">
        <v>192</v>
      </c>
      <c r="D297" s="16" t="s">
        <v>538</v>
      </c>
      <c r="E297" s="16">
        <v>27</v>
      </c>
      <c r="F297" s="16" t="s">
        <v>535</v>
      </c>
      <c r="G297" s="16" t="s">
        <v>625</v>
      </c>
      <c r="H297" s="16" t="s">
        <v>626</v>
      </c>
      <c r="I297" s="16" t="s">
        <v>190</v>
      </c>
      <c r="J297" s="16" t="s">
        <v>463</v>
      </c>
      <c r="K297" s="21">
        <v>46290</v>
      </c>
    </row>
    <row r="298" ht="69" customHeight="1" spans="1:11" x14ac:dyDescent="0.25">
      <c r="A298" s="17" t="s">
        <v>190</v>
      </c>
      <c r="B298" s="17" t="s">
        <v>191</v>
      </c>
      <c r="C298" s="18" t="s">
        <v>192</v>
      </c>
      <c r="D298" s="16" t="s">
        <v>627</v>
      </c>
      <c r="E298" s="16">
        <v>14.2</v>
      </c>
      <c r="F298" s="16" t="s">
        <v>508</v>
      </c>
      <c r="G298" s="16" t="s">
        <v>628</v>
      </c>
      <c r="H298" s="16" t="s">
        <v>629</v>
      </c>
      <c r="I298" s="16" t="s">
        <v>190</v>
      </c>
      <c r="J298" s="16" t="s">
        <v>463</v>
      </c>
      <c r="K298" s="21">
        <v>46290</v>
      </c>
    </row>
    <row r="299" ht="69" customHeight="1" spans="1:11" x14ac:dyDescent="0.25">
      <c r="A299" s="17" t="s">
        <v>198</v>
      </c>
      <c r="B299" s="17" t="s">
        <v>199</v>
      </c>
      <c r="C299" s="18" t="s">
        <v>201</v>
      </c>
      <c r="D299" s="16" t="s">
        <v>489</v>
      </c>
      <c r="E299" s="16" t="s">
        <v>198</v>
      </c>
      <c r="F299" s="16"/>
      <c r="G299" s="16" t="s">
        <v>490</v>
      </c>
      <c r="H299" s="16" t="s">
        <v>491</v>
      </c>
      <c r="I299" s="16" t="s">
        <v>198</v>
      </c>
      <c r="J299" s="16" t="s">
        <v>465</v>
      </c>
      <c r="K299" s="21">
        <v>46290</v>
      </c>
    </row>
    <row r="300" ht="69" customHeight="1" spans="1:11" x14ac:dyDescent="0.25">
      <c r="A300" s="17" t="s">
        <v>198</v>
      </c>
      <c r="B300" s="17" t="s">
        <v>199</v>
      </c>
      <c r="C300" s="18" t="s">
        <v>201</v>
      </c>
      <c r="D300" s="16" t="s">
        <v>492</v>
      </c>
      <c r="E300" s="16" t="s">
        <v>199</v>
      </c>
      <c r="F300" s="16"/>
      <c r="G300" s="16" t="s">
        <v>493</v>
      </c>
      <c r="H300" s="16" t="s">
        <v>494</v>
      </c>
      <c r="I300" s="16" t="s">
        <v>351</v>
      </c>
      <c r="J300" s="16" t="s">
        <v>205</v>
      </c>
      <c r="K300" s="21">
        <v>46290</v>
      </c>
    </row>
    <row r="301" ht="69" customHeight="1" spans="1:11" x14ac:dyDescent="0.25">
      <c r="A301" s="17" t="s">
        <v>198</v>
      </c>
      <c r="B301" s="17" t="s">
        <v>199</v>
      </c>
      <c r="C301" s="18" t="s">
        <v>201</v>
      </c>
      <c r="D301" s="16" t="s">
        <v>38</v>
      </c>
      <c r="E301" s="16" t="s">
        <v>630</v>
      </c>
      <c r="F301" s="16"/>
      <c r="G301" s="16" t="s">
        <v>496</v>
      </c>
      <c r="H301" s="16" t="s">
        <v>497</v>
      </c>
      <c r="I301" s="16" t="s">
        <v>631</v>
      </c>
      <c r="J301" s="16" t="s">
        <v>206</v>
      </c>
      <c r="K301" s="21">
        <v>46290</v>
      </c>
    </row>
    <row r="302" ht="69" customHeight="1" spans="1:11" x14ac:dyDescent="0.25">
      <c r="A302" s="17" t="s">
        <v>198</v>
      </c>
      <c r="B302" s="17" t="s">
        <v>199</v>
      </c>
      <c r="C302" s="18" t="s">
        <v>201</v>
      </c>
      <c r="D302" s="16" t="s">
        <v>499</v>
      </c>
      <c r="E302" s="16">
        <v>2019</v>
      </c>
      <c r="F302" s="16" t="s">
        <v>500</v>
      </c>
      <c r="G302" s="16" t="s">
        <v>388</v>
      </c>
      <c r="H302" s="16" t="s">
        <v>501</v>
      </c>
      <c r="I302" s="16" t="s">
        <v>351</v>
      </c>
      <c r="J302" s="16" t="s">
        <v>205</v>
      </c>
      <c r="K302" s="21">
        <v>46290</v>
      </c>
    </row>
    <row r="303" ht="69" customHeight="1" spans="1:11" x14ac:dyDescent="0.25">
      <c r="A303" s="17" t="s">
        <v>198</v>
      </c>
      <c r="B303" s="17" t="s">
        <v>199</v>
      </c>
      <c r="C303" s="18" t="s">
        <v>201</v>
      </c>
      <c r="D303" s="16" t="s">
        <v>41</v>
      </c>
      <c r="E303" s="16" t="s">
        <v>201</v>
      </c>
      <c r="F303" s="16"/>
      <c r="G303" s="16" t="s">
        <v>502</v>
      </c>
      <c r="H303" s="16" t="s">
        <v>503</v>
      </c>
      <c r="I303" s="16" t="s">
        <v>631</v>
      </c>
      <c r="J303" s="16" t="s">
        <v>206</v>
      </c>
      <c r="K303" s="21">
        <v>46290</v>
      </c>
    </row>
    <row r="304" ht="69" customHeight="1" spans="1:11" x14ac:dyDescent="0.25">
      <c r="A304" s="17" t="s">
        <v>198</v>
      </c>
      <c r="B304" s="17" t="s">
        <v>199</v>
      </c>
      <c r="C304" s="18" t="s">
        <v>201</v>
      </c>
      <c r="D304" s="16" t="s">
        <v>42</v>
      </c>
      <c r="E304" s="16" t="s">
        <v>202</v>
      </c>
      <c r="F304" s="16"/>
      <c r="G304" s="16" t="s">
        <v>504</v>
      </c>
      <c r="H304" s="16" t="s">
        <v>66</v>
      </c>
      <c r="I304" s="16" t="s">
        <v>631</v>
      </c>
      <c r="J304" s="16" t="s">
        <v>206</v>
      </c>
      <c r="K304" s="21">
        <v>46290</v>
      </c>
    </row>
    <row r="305" ht="69" customHeight="1" spans="1:11" x14ac:dyDescent="0.25">
      <c r="A305" s="17" t="s">
        <v>198</v>
      </c>
      <c r="B305" s="17" t="s">
        <v>199</v>
      </c>
      <c r="C305" s="18" t="s">
        <v>201</v>
      </c>
      <c r="D305" s="16" t="s">
        <v>43</v>
      </c>
      <c r="E305" s="16" t="s">
        <v>203</v>
      </c>
      <c r="F305" s="16"/>
      <c r="G305" s="16" t="s">
        <v>504</v>
      </c>
      <c r="H305" s="16" t="s">
        <v>66</v>
      </c>
      <c r="I305" s="16" t="s">
        <v>631</v>
      </c>
      <c r="J305" s="16" t="s">
        <v>206</v>
      </c>
      <c r="K305" s="21">
        <v>46290</v>
      </c>
    </row>
    <row r="306" ht="69" customHeight="1" spans="1:11" x14ac:dyDescent="0.25">
      <c r="A306" s="17" t="s">
        <v>198</v>
      </c>
      <c r="B306" s="17" t="s">
        <v>199</v>
      </c>
      <c r="C306" s="18" t="s">
        <v>201</v>
      </c>
      <c r="D306" s="16" t="s">
        <v>505</v>
      </c>
      <c r="E306" s="16" t="s">
        <v>104</v>
      </c>
      <c r="F306" s="16"/>
      <c r="G306" s="16" t="s">
        <v>506</v>
      </c>
      <c r="H306" s="16" t="s">
        <v>66</v>
      </c>
      <c r="I306" s="16" t="s">
        <v>631</v>
      </c>
      <c r="J306" s="16" t="s">
        <v>206</v>
      </c>
      <c r="K306" s="21">
        <v>46290</v>
      </c>
    </row>
    <row r="307" ht="69" customHeight="1" spans="1:11" x14ac:dyDescent="0.25">
      <c r="A307" s="17" t="s">
        <v>198</v>
      </c>
      <c r="B307" s="17" t="s">
        <v>199</v>
      </c>
      <c r="C307" s="18" t="s">
        <v>201</v>
      </c>
      <c r="D307" s="16" t="s">
        <v>507</v>
      </c>
      <c r="E307" s="16">
        <v>90</v>
      </c>
      <c r="F307" s="16" t="s">
        <v>508</v>
      </c>
      <c r="G307" s="16" t="s">
        <v>509</v>
      </c>
      <c r="H307" s="16" t="s">
        <v>510</v>
      </c>
      <c r="I307" s="16" t="s">
        <v>351</v>
      </c>
      <c r="J307" s="16" t="s">
        <v>205</v>
      </c>
      <c r="K307" s="21">
        <v>46290</v>
      </c>
    </row>
    <row r="308" ht="69" customHeight="1" spans="1:11" x14ac:dyDescent="0.25">
      <c r="A308" s="17" t="s">
        <v>198</v>
      </c>
      <c r="B308" s="17" t="s">
        <v>199</v>
      </c>
      <c r="C308" s="18" t="s">
        <v>201</v>
      </c>
      <c r="D308" s="16" t="s">
        <v>511</v>
      </c>
      <c r="E308" s="16">
        <v>14.2</v>
      </c>
      <c r="F308" s="16" t="s">
        <v>508</v>
      </c>
      <c r="G308" s="16" t="s">
        <v>512</v>
      </c>
      <c r="H308" s="16" t="s">
        <v>513</v>
      </c>
      <c r="I308" s="16" t="s">
        <v>351</v>
      </c>
      <c r="J308" s="16" t="s">
        <v>205</v>
      </c>
      <c r="K308" s="21">
        <v>46290</v>
      </c>
    </row>
    <row r="309" ht="69" customHeight="1" spans="1:11" x14ac:dyDescent="0.25">
      <c r="A309" s="17" t="s">
        <v>198</v>
      </c>
      <c r="B309" s="17" t="s">
        <v>199</v>
      </c>
      <c r="C309" s="18" t="s">
        <v>201</v>
      </c>
      <c r="D309" s="16" t="s">
        <v>514</v>
      </c>
      <c r="E309" s="16">
        <v>2946</v>
      </c>
      <c r="F309" s="16" t="s">
        <v>515</v>
      </c>
      <c r="G309" s="16" t="s">
        <v>516</v>
      </c>
      <c r="H309" s="16" t="s">
        <v>517</v>
      </c>
      <c r="I309" s="16" t="s">
        <v>631</v>
      </c>
      <c r="J309" s="16" t="s">
        <v>206</v>
      </c>
      <c r="K309" s="21">
        <v>46290</v>
      </c>
    </row>
    <row r="310" ht="69" customHeight="1" spans="1:11" x14ac:dyDescent="0.25">
      <c r="A310" s="17" t="s">
        <v>198</v>
      </c>
      <c r="B310" s="17" t="s">
        <v>199</v>
      </c>
      <c r="C310" s="18" t="s">
        <v>201</v>
      </c>
      <c r="D310" s="16" t="s">
        <v>518</v>
      </c>
      <c r="E310" s="16">
        <v>90</v>
      </c>
      <c r="F310" s="16" t="s">
        <v>508</v>
      </c>
      <c r="G310" s="16" t="s">
        <v>519</v>
      </c>
      <c r="H310" s="16" t="s">
        <v>204</v>
      </c>
      <c r="I310" s="16" t="s">
        <v>631</v>
      </c>
      <c r="J310" s="16" t="s">
        <v>206</v>
      </c>
      <c r="K310" s="21">
        <v>46290</v>
      </c>
    </row>
    <row r="311" ht="69" customHeight="1" spans="1:11" x14ac:dyDescent="0.25">
      <c r="A311" s="17" t="s">
        <v>198</v>
      </c>
      <c r="B311" s="17" t="s">
        <v>199</v>
      </c>
      <c r="C311" s="18" t="s">
        <v>201</v>
      </c>
      <c r="D311" s="16" t="s">
        <v>520</v>
      </c>
      <c r="E311" s="16">
        <v>14.2</v>
      </c>
      <c r="F311" s="16" t="s">
        <v>508</v>
      </c>
      <c r="G311" s="16" t="s">
        <v>519</v>
      </c>
      <c r="H311" s="16" t="s">
        <v>204</v>
      </c>
      <c r="I311" s="16" t="s">
        <v>631</v>
      </c>
      <c r="J311" s="16" t="s">
        <v>206</v>
      </c>
      <c r="K311" s="21">
        <v>46290</v>
      </c>
    </row>
    <row r="312" ht="69" customHeight="1" spans="1:11" x14ac:dyDescent="0.25">
      <c r="A312" s="17" t="s">
        <v>198</v>
      </c>
      <c r="B312" s="17" t="s">
        <v>199</v>
      </c>
      <c r="C312" s="18" t="s">
        <v>201</v>
      </c>
      <c r="D312" s="16" t="s">
        <v>516</v>
      </c>
      <c r="E312" s="16">
        <v>2946</v>
      </c>
      <c r="F312" s="16" t="s">
        <v>515</v>
      </c>
      <c r="G312" s="16" t="s">
        <v>521</v>
      </c>
      <c r="H312" s="16" t="s">
        <v>522</v>
      </c>
      <c r="I312" s="16" t="s">
        <v>631</v>
      </c>
      <c r="J312" s="16" t="s">
        <v>206</v>
      </c>
      <c r="K312" s="21">
        <v>46290</v>
      </c>
    </row>
    <row r="313" ht="69" customHeight="1" spans="1:11" x14ac:dyDescent="0.25">
      <c r="A313" s="17" t="s">
        <v>198</v>
      </c>
      <c r="B313" s="17" t="s">
        <v>199</v>
      </c>
      <c r="C313" s="18" t="s">
        <v>201</v>
      </c>
      <c r="D313" s="16" t="s">
        <v>277</v>
      </c>
      <c r="E313" s="16" t="s">
        <v>330</v>
      </c>
      <c r="F313" s="16"/>
      <c r="G313" s="16" t="s">
        <v>528</v>
      </c>
      <c r="H313" s="16"/>
      <c r="I313" s="16" t="s">
        <v>351</v>
      </c>
      <c r="J313" s="16" t="s">
        <v>205</v>
      </c>
      <c r="K313" s="21">
        <v>46290</v>
      </c>
    </row>
    <row r="314" ht="69" customHeight="1" spans="1:11" x14ac:dyDescent="0.25">
      <c r="A314" s="17" t="s">
        <v>198</v>
      </c>
      <c r="B314" s="17" t="s">
        <v>199</v>
      </c>
      <c r="C314" s="18" t="s">
        <v>201</v>
      </c>
      <c r="D314" s="16" t="s">
        <v>278</v>
      </c>
      <c r="E314" s="16" t="s">
        <v>318</v>
      </c>
      <c r="F314" s="16"/>
      <c r="G314" s="16" t="s">
        <v>529</v>
      </c>
      <c r="H314" s="16"/>
      <c r="I314" s="16" t="s">
        <v>351</v>
      </c>
      <c r="J314" s="16" t="s">
        <v>205</v>
      </c>
      <c r="K314" s="21">
        <v>46290</v>
      </c>
    </row>
    <row r="315" ht="69" customHeight="1" spans="1:11" x14ac:dyDescent="0.25">
      <c r="A315" s="17" t="s">
        <v>198</v>
      </c>
      <c r="B315" s="17" t="s">
        <v>199</v>
      </c>
      <c r="C315" s="18" t="s">
        <v>201</v>
      </c>
      <c r="D315" s="16" t="s">
        <v>534</v>
      </c>
      <c r="E315" s="16">
        <v>23</v>
      </c>
      <c r="F315" s="16" t="s">
        <v>535</v>
      </c>
      <c r="G315" s="16" t="s">
        <v>632</v>
      </c>
      <c r="H315" s="16"/>
      <c r="I315" s="16" t="s">
        <v>351</v>
      </c>
      <c r="J315" s="16" t="s">
        <v>205</v>
      </c>
      <c r="K315" s="21">
        <v>46290</v>
      </c>
    </row>
    <row r="316" ht="69" customHeight="1" spans="1:11" x14ac:dyDescent="0.25">
      <c r="A316" s="17" t="s">
        <v>207</v>
      </c>
      <c r="B316" s="17" t="s">
        <v>208</v>
      </c>
      <c r="C316" s="18" t="s">
        <v>210</v>
      </c>
      <c r="D316" s="16" t="s">
        <v>489</v>
      </c>
      <c r="E316" s="16" t="s">
        <v>207</v>
      </c>
      <c r="F316" s="16"/>
      <c r="G316" s="16" t="s">
        <v>490</v>
      </c>
      <c r="H316" s="16" t="s">
        <v>491</v>
      </c>
      <c r="I316" s="16" t="s">
        <v>451</v>
      </c>
      <c r="J316" s="16" t="s">
        <v>452</v>
      </c>
      <c r="K316" s="21">
        <v>46290</v>
      </c>
    </row>
    <row r="317" ht="69" customHeight="1" spans="1:11" x14ac:dyDescent="0.25">
      <c r="A317" s="17" t="s">
        <v>207</v>
      </c>
      <c r="B317" s="17" t="s">
        <v>208</v>
      </c>
      <c r="C317" s="18" t="s">
        <v>210</v>
      </c>
      <c r="D317" s="16" t="s">
        <v>492</v>
      </c>
      <c r="E317" s="16" t="s">
        <v>208</v>
      </c>
      <c r="F317" s="16"/>
      <c r="G317" s="16" t="s">
        <v>493</v>
      </c>
      <c r="H317" s="16" t="s">
        <v>494</v>
      </c>
      <c r="I317" s="16" t="s">
        <v>633</v>
      </c>
      <c r="J317" s="16" t="s">
        <v>214</v>
      </c>
      <c r="K317" s="21">
        <v>46290</v>
      </c>
    </row>
    <row r="318" ht="69" customHeight="1" spans="1:11" x14ac:dyDescent="0.25">
      <c r="A318" s="17" t="s">
        <v>207</v>
      </c>
      <c r="B318" s="17" t="s">
        <v>208</v>
      </c>
      <c r="C318" s="18" t="s">
        <v>210</v>
      </c>
      <c r="D318" s="16" t="s">
        <v>38</v>
      </c>
      <c r="E318" s="16" t="s">
        <v>209</v>
      </c>
      <c r="F318" s="16"/>
      <c r="G318" s="16" t="s">
        <v>496</v>
      </c>
      <c r="H318" s="16" t="s">
        <v>497</v>
      </c>
      <c r="I318" s="16" t="s">
        <v>634</v>
      </c>
      <c r="J318" s="16" t="s">
        <v>215</v>
      </c>
      <c r="K318" s="21">
        <v>46290</v>
      </c>
    </row>
    <row r="319" ht="69" customHeight="1" spans="1:11" x14ac:dyDescent="0.25">
      <c r="A319" s="17" t="s">
        <v>207</v>
      </c>
      <c r="B319" s="17" t="s">
        <v>208</v>
      </c>
      <c r="C319" s="18" t="s">
        <v>210</v>
      </c>
      <c r="D319" s="16" t="s">
        <v>499</v>
      </c>
      <c r="E319" s="16">
        <v>2018</v>
      </c>
      <c r="F319" s="16" t="s">
        <v>500</v>
      </c>
      <c r="G319" s="16" t="s">
        <v>388</v>
      </c>
      <c r="H319" s="16" t="s">
        <v>501</v>
      </c>
      <c r="I319" s="16" t="s">
        <v>633</v>
      </c>
      <c r="J319" s="16" t="s">
        <v>214</v>
      </c>
      <c r="K319" s="21">
        <v>46290</v>
      </c>
    </row>
    <row r="320" ht="69" customHeight="1" spans="1:11" x14ac:dyDescent="0.25">
      <c r="A320" s="17" t="s">
        <v>207</v>
      </c>
      <c r="B320" s="17" t="s">
        <v>208</v>
      </c>
      <c r="C320" s="18" t="s">
        <v>210</v>
      </c>
      <c r="D320" s="16" t="s">
        <v>41</v>
      </c>
      <c r="E320" s="16" t="s">
        <v>210</v>
      </c>
      <c r="F320" s="16"/>
      <c r="G320" s="16" t="s">
        <v>502</v>
      </c>
      <c r="H320" s="16" t="s">
        <v>503</v>
      </c>
      <c r="I320" s="16" t="s">
        <v>634</v>
      </c>
      <c r="J320" s="16" t="s">
        <v>215</v>
      </c>
      <c r="K320" s="21">
        <v>46290</v>
      </c>
    </row>
    <row r="321" ht="69" customHeight="1" spans="1:11" x14ac:dyDescent="0.25">
      <c r="A321" s="17" t="s">
        <v>207</v>
      </c>
      <c r="B321" s="17" t="s">
        <v>208</v>
      </c>
      <c r="C321" s="18" t="s">
        <v>210</v>
      </c>
      <c r="D321" s="16" t="s">
        <v>42</v>
      </c>
      <c r="E321" s="16" t="s">
        <v>211</v>
      </c>
      <c r="F321" s="16"/>
      <c r="G321" s="16" t="s">
        <v>504</v>
      </c>
      <c r="H321" s="16" t="s">
        <v>66</v>
      </c>
      <c r="I321" s="16" t="s">
        <v>634</v>
      </c>
      <c r="J321" s="16" t="s">
        <v>215</v>
      </c>
      <c r="K321" s="21">
        <v>46290</v>
      </c>
    </row>
    <row r="322" ht="69" customHeight="1" spans="1:11" x14ac:dyDescent="0.25">
      <c r="A322" s="17" t="s">
        <v>207</v>
      </c>
      <c r="B322" s="17" t="s">
        <v>208</v>
      </c>
      <c r="C322" s="18" t="s">
        <v>210</v>
      </c>
      <c r="D322" s="16" t="s">
        <v>43</v>
      </c>
      <c r="E322" s="16" t="s">
        <v>212</v>
      </c>
      <c r="F322" s="16"/>
      <c r="G322" s="16" t="s">
        <v>504</v>
      </c>
      <c r="H322" s="16" t="s">
        <v>66</v>
      </c>
      <c r="I322" s="16" t="s">
        <v>634</v>
      </c>
      <c r="J322" s="16" t="s">
        <v>215</v>
      </c>
      <c r="K322" s="21">
        <v>46290</v>
      </c>
    </row>
    <row r="323" ht="69" customHeight="1" spans="1:11" x14ac:dyDescent="0.25">
      <c r="A323" s="17" t="s">
        <v>207</v>
      </c>
      <c r="B323" s="17" t="s">
        <v>208</v>
      </c>
      <c r="C323" s="18" t="s">
        <v>210</v>
      </c>
      <c r="D323" s="16" t="s">
        <v>505</v>
      </c>
      <c r="E323" s="16" t="s">
        <v>104</v>
      </c>
      <c r="F323" s="16"/>
      <c r="G323" s="16" t="s">
        <v>506</v>
      </c>
      <c r="H323" s="16" t="s">
        <v>66</v>
      </c>
      <c r="I323" s="16" t="s">
        <v>634</v>
      </c>
      <c r="J323" s="16" t="s">
        <v>215</v>
      </c>
      <c r="K323" s="21">
        <v>46290</v>
      </c>
    </row>
    <row r="324" ht="69" customHeight="1" spans="1:11" x14ac:dyDescent="0.25">
      <c r="A324" s="17" t="s">
        <v>207</v>
      </c>
      <c r="B324" s="17" t="s">
        <v>208</v>
      </c>
      <c r="C324" s="18" t="s">
        <v>210</v>
      </c>
      <c r="D324" s="16" t="s">
        <v>507</v>
      </c>
      <c r="E324" s="16">
        <v>90</v>
      </c>
      <c r="F324" s="16" t="s">
        <v>508</v>
      </c>
      <c r="G324" s="16" t="s">
        <v>509</v>
      </c>
      <c r="H324" s="16" t="s">
        <v>510</v>
      </c>
      <c r="I324" s="16" t="s">
        <v>633</v>
      </c>
      <c r="J324" s="16" t="s">
        <v>214</v>
      </c>
      <c r="K324" s="21">
        <v>46290</v>
      </c>
    </row>
    <row r="325" ht="69" customHeight="1" spans="1:11" x14ac:dyDescent="0.25">
      <c r="A325" s="17" t="s">
        <v>207</v>
      </c>
      <c r="B325" s="17" t="s">
        <v>208</v>
      </c>
      <c r="C325" s="18" t="s">
        <v>210</v>
      </c>
      <c r="D325" s="16" t="s">
        <v>511</v>
      </c>
      <c r="E325" s="16">
        <v>14.2</v>
      </c>
      <c r="F325" s="16" t="s">
        <v>508</v>
      </c>
      <c r="G325" s="16" t="s">
        <v>512</v>
      </c>
      <c r="H325" s="16" t="s">
        <v>513</v>
      </c>
      <c r="I325" s="16" t="s">
        <v>633</v>
      </c>
      <c r="J325" s="16" t="s">
        <v>214</v>
      </c>
      <c r="K325" s="21">
        <v>46290</v>
      </c>
    </row>
    <row r="326" ht="69" customHeight="1" spans="1:11" x14ac:dyDescent="0.25">
      <c r="A326" s="17" t="s">
        <v>207</v>
      </c>
      <c r="B326" s="17" t="s">
        <v>208</v>
      </c>
      <c r="C326" s="18" t="s">
        <v>210</v>
      </c>
      <c r="D326" s="16" t="s">
        <v>514</v>
      </c>
      <c r="E326" s="16">
        <v>2926</v>
      </c>
      <c r="F326" s="16" t="s">
        <v>515</v>
      </c>
      <c r="G326" s="16" t="s">
        <v>516</v>
      </c>
      <c r="H326" s="16" t="s">
        <v>517</v>
      </c>
      <c r="I326" s="16" t="s">
        <v>634</v>
      </c>
      <c r="J326" s="16" t="s">
        <v>215</v>
      </c>
      <c r="K326" s="21">
        <v>46290</v>
      </c>
    </row>
    <row r="327" ht="69" customHeight="1" spans="1:11" x14ac:dyDescent="0.25">
      <c r="A327" s="17" t="s">
        <v>207</v>
      </c>
      <c r="B327" s="17" t="s">
        <v>208</v>
      </c>
      <c r="C327" s="18" t="s">
        <v>210</v>
      </c>
      <c r="D327" s="16" t="s">
        <v>518</v>
      </c>
      <c r="E327" s="16">
        <v>90.13</v>
      </c>
      <c r="F327" s="16" t="s">
        <v>508</v>
      </c>
      <c r="G327" s="16" t="s">
        <v>519</v>
      </c>
      <c r="H327" s="16" t="s">
        <v>213</v>
      </c>
      <c r="I327" s="16" t="s">
        <v>634</v>
      </c>
      <c r="J327" s="16" t="s">
        <v>215</v>
      </c>
      <c r="K327" s="21">
        <v>46290</v>
      </c>
    </row>
    <row r="328" ht="69" customHeight="1" spans="1:11" x14ac:dyDescent="0.25">
      <c r="A328" s="17" t="s">
        <v>207</v>
      </c>
      <c r="B328" s="17" t="s">
        <v>208</v>
      </c>
      <c r="C328" s="18" t="s">
        <v>210</v>
      </c>
      <c r="D328" s="16" t="s">
        <v>520</v>
      </c>
      <c r="E328" s="16">
        <v>13.8</v>
      </c>
      <c r="F328" s="16" t="s">
        <v>508</v>
      </c>
      <c r="G328" s="16" t="s">
        <v>519</v>
      </c>
      <c r="H328" s="16" t="s">
        <v>213</v>
      </c>
      <c r="I328" s="16" t="s">
        <v>634</v>
      </c>
      <c r="J328" s="16" t="s">
        <v>215</v>
      </c>
      <c r="K328" s="21">
        <v>46290</v>
      </c>
    </row>
    <row r="329" ht="69" customHeight="1" spans="1:11" x14ac:dyDescent="0.25">
      <c r="A329" s="17" t="s">
        <v>207</v>
      </c>
      <c r="B329" s="17" t="s">
        <v>208</v>
      </c>
      <c r="C329" s="18" t="s">
        <v>210</v>
      </c>
      <c r="D329" s="16" t="s">
        <v>516</v>
      </c>
      <c r="E329" s="16">
        <v>2926</v>
      </c>
      <c r="F329" s="16" t="s">
        <v>515</v>
      </c>
      <c r="G329" s="16" t="s">
        <v>521</v>
      </c>
      <c r="H329" s="16" t="s">
        <v>522</v>
      </c>
      <c r="I329" s="16" t="s">
        <v>634</v>
      </c>
      <c r="J329" s="16" t="s">
        <v>215</v>
      </c>
      <c r="K329" s="21">
        <v>46290</v>
      </c>
    </row>
    <row r="330" ht="69" customHeight="1" spans="1:11" x14ac:dyDescent="0.25">
      <c r="A330" s="17" t="s">
        <v>207</v>
      </c>
      <c r="B330" s="17" t="s">
        <v>208</v>
      </c>
      <c r="C330" s="18" t="s">
        <v>210</v>
      </c>
      <c r="D330" s="16" t="s">
        <v>543</v>
      </c>
      <c r="E330" s="16">
        <v>3.95</v>
      </c>
      <c r="F330" s="16" t="s">
        <v>508</v>
      </c>
      <c r="G330" s="16" t="s">
        <v>527</v>
      </c>
      <c r="H330" s="16" t="s">
        <v>544</v>
      </c>
      <c r="I330" s="16" t="s">
        <v>635</v>
      </c>
      <c r="J330" s="16" t="s">
        <v>636</v>
      </c>
      <c r="K330" s="21">
        <v>46290</v>
      </c>
    </row>
    <row r="331" ht="69" customHeight="1" spans="1:11" x14ac:dyDescent="0.25">
      <c r="A331" s="17" t="s">
        <v>207</v>
      </c>
      <c r="B331" s="17" t="s">
        <v>208</v>
      </c>
      <c r="C331" s="18" t="s">
        <v>210</v>
      </c>
      <c r="D331" s="16" t="s">
        <v>277</v>
      </c>
      <c r="E331" s="16" t="s">
        <v>352</v>
      </c>
      <c r="F331" s="16"/>
      <c r="G331" s="16" t="s">
        <v>528</v>
      </c>
      <c r="H331" s="16"/>
      <c r="I331" s="16" t="s">
        <v>633</v>
      </c>
      <c r="J331" s="16" t="s">
        <v>214</v>
      </c>
      <c r="K331" s="21">
        <v>46290</v>
      </c>
    </row>
    <row r="332" ht="69" customHeight="1" spans="1:11" x14ac:dyDescent="0.25">
      <c r="A332" s="17" t="s">
        <v>207</v>
      </c>
      <c r="B332" s="17" t="s">
        <v>208</v>
      </c>
      <c r="C332" s="18" t="s">
        <v>210</v>
      </c>
      <c r="D332" s="16" t="s">
        <v>278</v>
      </c>
      <c r="E332" s="16" t="s">
        <v>296</v>
      </c>
      <c r="F332" s="16"/>
      <c r="G332" s="16" t="s">
        <v>529</v>
      </c>
      <c r="H332" s="16"/>
      <c r="I332" s="16" t="s">
        <v>633</v>
      </c>
      <c r="J332" s="16" t="s">
        <v>214</v>
      </c>
      <c r="K332" s="21">
        <v>46290</v>
      </c>
    </row>
    <row r="333" ht="69" customHeight="1" spans="1:11" x14ac:dyDescent="0.25">
      <c r="A333" s="17" t="s">
        <v>207</v>
      </c>
      <c r="B333" s="17" t="s">
        <v>208</v>
      </c>
      <c r="C333" s="18" t="s">
        <v>210</v>
      </c>
      <c r="D333" s="16" t="s">
        <v>532</v>
      </c>
      <c r="E333" s="16">
        <v>20</v>
      </c>
      <c r="F333" s="16" t="s">
        <v>531</v>
      </c>
      <c r="G333" s="16" t="s">
        <v>527</v>
      </c>
      <c r="H333" s="16"/>
      <c r="I333" s="16" t="s">
        <v>635</v>
      </c>
      <c r="J333" s="16" t="s">
        <v>636</v>
      </c>
      <c r="K333" s="21">
        <v>46290</v>
      </c>
    </row>
    <row r="334" ht="69" customHeight="1" spans="1:11" x14ac:dyDescent="0.25">
      <c r="A334" s="17" t="s">
        <v>207</v>
      </c>
      <c r="B334" s="17" t="s">
        <v>208</v>
      </c>
      <c r="C334" s="18" t="s">
        <v>210</v>
      </c>
      <c r="D334" s="16" t="s">
        <v>534</v>
      </c>
      <c r="E334" s="16">
        <v>12</v>
      </c>
      <c r="F334" s="16" t="s">
        <v>535</v>
      </c>
      <c r="G334" s="16" t="s">
        <v>527</v>
      </c>
      <c r="H334" s="16"/>
      <c r="I334" s="16" t="s">
        <v>635</v>
      </c>
      <c r="J334" s="16" t="s">
        <v>636</v>
      </c>
      <c r="K334" s="21">
        <v>46290</v>
      </c>
    </row>
    <row r="335" ht="69" customHeight="1" spans="1:11" x14ac:dyDescent="0.25">
      <c r="A335" s="17" t="s">
        <v>207</v>
      </c>
      <c r="B335" s="17" t="s">
        <v>208</v>
      </c>
      <c r="C335" s="18" t="s">
        <v>210</v>
      </c>
      <c r="D335" s="16" t="s">
        <v>536</v>
      </c>
      <c r="E335" s="16">
        <v>7</v>
      </c>
      <c r="F335" s="16" t="s">
        <v>537</v>
      </c>
      <c r="G335" s="16" t="s">
        <v>527</v>
      </c>
      <c r="H335" s="16"/>
      <c r="I335" s="16" t="s">
        <v>635</v>
      </c>
      <c r="J335" s="16" t="s">
        <v>636</v>
      </c>
      <c r="K335" s="21">
        <v>46290</v>
      </c>
    </row>
    <row r="336" ht="69" customHeight="1" spans="1:11" x14ac:dyDescent="0.25">
      <c r="A336" s="17" t="s">
        <v>207</v>
      </c>
      <c r="B336" s="17" t="s">
        <v>208</v>
      </c>
      <c r="C336" s="18" t="s">
        <v>210</v>
      </c>
      <c r="D336" s="16" t="s">
        <v>538</v>
      </c>
      <c r="E336" s="16">
        <v>30</v>
      </c>
      <c r="F336" s="16" t="s">
        <v>535</v>
      </c>
      <c r="G336" s="16" t="s">
        <v>527</v>
      </c>
      <c r="H336" s="16"/>
      <c r="I336" s="16" t="s">
        <v>635</v>
      </c>
      <c r="J336" s="16" t="s">
        <v>636</v>
      </c>
      <c r="K336" s="21">
        <v>46290</v>
      </c>
    </row>
    <row r="337" ht="69" customHeight="1" spans="1:11" x14ac:dyDescent="0.25">
      <c r="A337" s="17" t="s">
        <v>207</v>
      </c>
      <c r="B337" s="17" t="s">
        <v>208</v>
      </c>
      <c r="C337" s="18" t="s">
        <v>210</v>
      </c>
      <c r="D337" s="16" t="s">
        <v>596</v>
      </c>
      <c r="E337" s="16">
        <v>90.13</v>
      </c>
      <c r="F337" s="16" t="s">
        <v>508</v>
      </c>
      <c r="G337" s="16" t="s">
        <v>554</v>
      </c>
      <c r="H337" s="16" t="s">
        <v>637</v>
      </c>
      <c r="I337" s="16" t="s">
        <v>635</v>
      </c>
      <c r="J337" s="16" t="s">
        <v>636</v>
      </c>
      <c r="K337" s="21">
        <v>46290</v>
      </c>
    </row>
    <row r="338" ht="69" customHeight="1" spans="1:11" x14ac:dyDescent="0.25">
      <c r="A338" s="17" t="s">
        <v>216</v>
      </c>
      <c r="B338" s="17" t="s">
        <v>217</v>
      </c>
      <c r="C338" s="18" t="s">
        <v>219</v>
      </c>
      <c r="D338" s="16" t="s">
        <v>489</v>
      </c>
      <c r="E338" s="16" t="s">
        <v>216</v>
      </c>
      <c r="F338" s="16"/>
      <c r="G338" s="16" t="s">
        <v>490</v>
      </c>
      <c r="H338" s="16" t="s">
        <v>491</v>
      </c>
      <c r="I338" s="16" t="s">
        <v>216</v>
      </c>
      <c r="J338" s="16" t="s">
        <v>468</v>
      </c>
      <c r="K338" s="21">
        <v>46290</v>
      </c>
    </row>
    <row r="339" ht="69" customHeight="1" spans="1:11" x14ac:dyDescent="0.25">
      <c r="A339" s="17" t="s">
        <v>216</v>
      </c>
      <c r="B339" s="17" t="s">
        <v>217</v>
      </c>
      <c r="C339" s="18" t="s">
        <v>219</v>
      </c>
      <c r="D339" s="16" t="s">
        <v>492</v>
      </c>
      <c r="E339" s="16" t="s">
        <v>217</v>
      </c>
      <c r="F339" s="16"/>
      <c r="G339" s="16" t="s">
        <v>493</v>
      </c>
      <c r="H339" s="16" t="s">
        <v>494</v>
      </c>
      <c r="I339" s="16" t="s">
        <v>638</v>
      </c>
      <c r="J339" s="16" t="s">
        <v>223</v>
      </c>
      <c r="K339" s="21">
        <v>46290</v>
      </c>
    </row>
    <row r="340" ht="69" customHeight="1" spans="1:11" x14ac:dyDescent="0.25">
      <c r="A340" s="17" t="s">
        <v>216</v>
      </c>
      <c r="B340" s="17" t="s">
        <v>217</v>
      </c>
      <c r="C340" s="18" t="s">
        <v>219</v>
      </c>
      <c r="D340" s="16" t="s">
        <v>499</v>
      </c>
      <c r="E340" s="16">
        <v>2018</v>
      </c>
      <c r="F340" s="16" t="s">
        <v>500</v>
      </c>
      <c r="G340" s="16" t="s">
        <v>388</v>
      </c>
      <c r="H340" s="16" t="s">
        <v>501</v>
      </c>
      <c r="I340" s="16" t="s">
        <v>638</v>
      </c>
      <c r="J340" s="16" t="s">
        <v>223</v>
      </c>
      <c r="K340" s="21">
        <v>46290</v>
      </c>
    </row>
    <row r="341" ht="69" customHeight="1" spans="1:11" x14ac:dyDescent="0.25">
      <c r="A341" s="17" t="s">
        <v>216</v>
      </c>
      <c r="B341" s="17" t="s">
        <v>217</v>
      </c>
      <c r="C341" s="18" t="s">
        <v>219</v>
      </c>
      <c r="D341" s="16" t="s">
        <v>41</v>
      </c>
      <c r="E341" s="16" t="s">
        <v>219</v>
      </c>
      <c r="F341" s="16"/>
      <c r="G341" s="16" t="s">
        <v>502</v>
      </c>
      <c r="H341" s="16" t="s">
        <v>503</v>
      </c>
      <c r="I341" s="16" t="s">
        <v>639</v>
      </c>
      <c r="J341" s="16" t="s">
        <v>224</v>
      </c>
      <c r="K341" s="21">
        <v>46290</v>
      </c>
    </row>
    <row r="342" ht="69" customHeight="1" spans="1:11" x14ac:dyDescent="0.25">
      <c r="A342" s="17" t="s">
        <v>216</v>
      </c>
      <c r="B342" s="17" t="s">
        <v>217</v>
      </c>
      <c r="C342" s="18" t="s">
        <v>219</v>
      </c>
      <c r="D342" s="16" t="s">
        <v>42</v>
      </c>
      <c r="E342" s="16" t="s">
        <v>220</v>
      </c>
      <c r="F342" s="16"/>
      <c r="G342" s="16" t="s">
        <v>504</v>
      </c>
      <c r="H342" s="16" t="s">
        <v>66</v>
      </c>
      <c r="I342" s="16" t="s">
        <v>639</v>
      </c>
      <c r="J342" s="16" t="s">
        <v>224</v>
      </c>
      <c r="K342" s="21">
        <v>46290</v>
      </c>
    </row>
    <row r="343" ht="69" customHeight="1" spans="1:11" x14ac:dyDescent="0.25">
      <c r="A343" s="17" t="s">
        <v>216</v>
      </c>
      <c r="B343" s="17" t="s">
        <v>217</v>
      </c>
      <c r="C343" s="18" t="s">
        <v>219</v>
      </c>
      <c r="D343" s="16" t="s">
        <v>43</v>
      </c>
      <c r="E343" s="16" t="s">
        <v>221</v>
      </c>
      <c r="F343" s="16"/>
      <c r="G343" s="16" t="s">
        <v>504</v>
      </c>
      <c r="H343" s="16" t="s">
        <v>66</v>
      </c>
      <c r="I343" s="16" t="s">
        <v>639</v>
      </c>
      <c r="J343" s="16" t="s">
        <v>224</v>
      </c>
      <c r="K343" s="21">
        <v>46290</v>
      </c>
    </row>
    <row r="344" ht="69" customHeight="1" spans="1:11" x14ac:dyDescent="0.25">
      <c r="A344" s="17" t="s">
        <v>216</v>
      </c>
      <c r="B344" s="17" t="s">
        <v>217</v>
      </c>
      <c r="C344" s="18" t="s">
        <v>219</v>
      </c>
      <c r="D344" s="16" t="s">
        <v>505</v>
      </c>
      <c r="E344" s="16" t="s">
        <v>104</v>
      </c>
      <c r="F344" s="16"/>
      <c r="G344" s="16" t="s">
        <v>506</v>
      </c>
      <c r="H344" s="16" t="s">
        <v>66</v>
      </c>
      <c r="I344" s="16" t="s">
        <v>639</v>
      </c>
      <c r="J344" s="16" t="s">
        <v>224</v>
      </c>
      <c r="K344" s="21">
        <v>46290</v>
      </c>
    </row>
    <row r="345" ht="69" customHeight="1" spans="1:11" x14ac:dyDescent="0.25">
      <c r="A345" s="17" t="s">
        <v>216</v>
      </c>
      <c r="B345" s="17" t="s">
        <v>217</v>
      </c>
      <c r="C345" s="18" t="s">
        <v>219</v>
      </c>
      <c r="D345" s="16" t="s">
        <v>507</v>
      </c>
      <c r="E345" s="16">
        <v>109</v>
      </c>
      <c r="F345" s="16" t="s">
        <v>508</v>
      </c>
      <c r="G345" s="16" t="s">
        <v>509</v>
      </c>
      <c r="H345" s="16" t="s">
        <v>510</v>
      </c>
      <c r="I345" s="16" t="s">
        <v>638</v>
      </c>
      <c r="J345" s="16" t="s">
        <v>223</v>
      </c>
      <c r="K345" s="21">
        <v>46290</v>
      </c>
    </row>
    <row r="346" ht="69" customHeight="1" spans="1:11" x14ac:dyDescent="0.25">
      <c r="A346" s="17" t="s">
        <v>216</v>
      </c>
      <c r="B346" s="17" t="s">
        <v>217</v>
      </c>
      <c r="C346" s="18" t="s">
        <v>219</v>
      </c>
      <c r="D346" s="16" t="s">
        <v>511</v>
      </c>
      <c r="E346" s="16">
        <v>16.3</v>
      </c>
      <c r="F346" s="16" t="s">
        <v>508</v>
      </c>
      <c r="G346" s="16" t="s">
        <v>512</v>
      </c>
      <c r="H346" s="16" t="s">
        <v>513</v>
      </c>
      <c r="I346" s="16" t="s">
        <v>638</v>
      </c>
      <c r="J346" s="16" t="s">
        <v>223</v>
      </c>
      <c r="K346" s="21">
        <v>46290</v>
      </c>
    </row>
    <row r="347" ht="69" customHeight="1" spans="1:11" x14ac:dyDescent="0.25">
      <c r="A347" s="17" t="s">
        <v>216</v>
      </c>
      <c r="B347" s="17" t="s">
        <v>217</v>
      </c>
      <c r="C347" s="18" t="s">
        <v>219</v>
      </c>
      <c r="D347" s="16" t="s">
        <v>514</v>
      </c>
      <c r="E347" s="16">
        <v>3418</v>
      </c>
      <c r="F347" s="16" t="s">
        <v>515</v>
      </c>
      <c r="G347" s="16" t="s">
        <v>516</v>
      </c>
      <c r="H347" s="16" t="s">
        <v>517</v>
      </c>
      <c r="I347" s="16" t="s">
        <v>639</v>
      </c>
      <c r="J347" s="16" t="s">
        <v>224</v>
      </c>
      <c r="K347" s="21">
        <v>46290</v>
      </c>
    </row>
    <row r="348" ht="69" customHeight="1" spans="1:11" x14ac:dyDescent="0.25">
      <c r="A348" s="17" t="s">
        <v>216</v>
      </c>
      <c r="B348" s="17" t="s">
        <v>217</v>
      </c>
      <c r="C348" s="18" t="s">
        <v>219</v>
      </c>
      <c r="D348" s="16" t="s">
        <v>518</v>
      </c>
      <c r="E348" s="16">
        <v>109</v>
      </c>
      <c r="F348" s="16" t="s">
        <v>508</v>
      </c>
      <c r="G348" s="16" t="s">
        <v>519</v>
      </c>
      <c r="H348" s="16" t="s">
        <v>222</v>
      </c>
      <c r="I348" s="16" t="s">
        <v>639</v>
      </c>
      <c r="J348" s="16" t="s">
        <v>224</v>
      </c>
      <c r="K348" s="21">
        <v>46290</v>
      </c>
    </row>
    <row r="349" ht="69" customHeight="1" spans="1:11" x14ac:dyDescent="0.25">
      <c r="A349" s="17" t="s">
        <v>216</v>
      </c>
      <c r="B349" s="17" t="s">
        <v>217</v>
      </c>
      <c r="C349" s="18" t="s">
        <v>219</v>
      </c>
      <c r="D349" s="16" t="s">
        <v>520</v>
      </c>
      <c r="E349" s="16">
        <v>16</v>
      </c>
      <c r="F349" s="16" t="s">
        <v>508</v>
      </c>
      <c r="G349" s="16" t="s">
        <v>519</v>
      </c>
      <c r="H349" s="16" t="s">
        <v>222</v>
      </c>
      <c r="I349" s="16" t="s">
        <v>639</v>
      </c>
      <c r="J349" s="16" t="s">
        <v>224</v>
      </c>
      <c r="K349" s="21">
        <v>46290</v>
      </c>
    </row>
    <row r="350" ht="69" customHeight="1" spans="1:11" x14ac:dyDescent="0.25">
      <c r="A350" s="17" t="s">
        <v>216</v>
      </c>
      <c r="B350" s="17" t="s">
        <v>217</v>
      </c>
      <c r="C350" s="18" t="s">
        <v>219</v>
      </c>
      <c r="D350" s="16" t="s">
        <v>516</v>
      </c>
      <c r="E350" s="16">
        <v>3418</v>
      </c>
      <c r="F350" s="16" t="s">
        <v>515</v>
      </c>
      <c r="G350" s="16" t="s">
        <v>521</v>
      </c>
      <c r="H350" s="16" t="s">
        <v>522</v>
      </c>
      <c r="I350" s="16" t="s">
        <v>639</v>
      </c>
      <c r="J350" s="16" t="s">
        <v>224</v>
      </c>
      <c r="K350" s="21">
        <v>46290</v>
      </c>
    </row>
    <row r="351" ht="69" customHeight="1" spans="1:11" x14ac:dyDescent="0.25">
      <c r="A351" s="17" t="s">
        <v>216</v>
      </c>
      <c r="B351" s="17" t="s">
        <v>217</v>
      </c>
      <c r="C351" s="18" t="s">
        <v>219</v>
      </c>
      <c r="D351" s="16" t="s">
        <v>276</v>
      </c>
      <c r="E351" s="16" t="s">
        <v>355</v>
      </c>
      <c r="F351" s="16"/>
      <c r="G351" s="16" t="s">
        <v>606</v>
      </c>
      <c r="H351" s="16"/>
      <c r="I351" s="16" t="s">
        <v>640</v>
      </c>
      <c r="J351" s="16" t="s">
        <v>641</v>
      </c>
      <c r="K351" s="21">
        <v>46290</v>
      </c>
    </row>
    <row r="352" ht="69" customHeight="1" spans="1:11" x14ac:dyDescent="0.25">
      <c r="A352" s="17" t="s">
        <v>216</v>
      </c>
      <c r="B352" s="17" t="s">
        <v>217</v>
      </c>
      <c r="C352" s="18" t="s">
        <v>219</v>
      </c>
      <c r="D352" s="16" t="s">
        <v>277</v>
      </c>
      <c r="E352" s="16" t="s">
        <v>296</v>
      </c>
      <c r="F352" s="16"/>
      <c r="G352" s="16" t="s">
        <v>528</v>
      </c>
      <c r="H352" s="16"/>
      <c r="I352" s="16" t="s">
        <v>638</v>
      </c>
      <c r="J352" s="16" t="s">
        <v>223</v>
      </c>
      <c r="K352" s="21">
        <v>46290</v>
      </c>
    </row>
    <row r="353" ht="69" customHeight="1" spans="1:11" x14ac:dyDescent="0.25">
      <c r="A353" s="17" t="s">
        <v>216</v>
      </c>
      <c r="B353" s="17" t="s">
        <v>217</v>
      </c>
      <c r="C353" s="18" t="s">
        <v>219</v>
      </c>
      <c r="D353" s="16" t="s">
        <v>278</v>
      </c>
      <c r="E353" s="16" t="s">
        <v>356</v>
      </c>
      <c r="F353" s="16"/>
      <c r="G353" s="16" t="s">
        <v>529</v>
      </c>
      <c r="H353" s="16"/>
      <c r="I353" s="16" t="s">
        <v>638</v>
      </c>
      <c r="J353" s="16" t="s">
        <v>223</v>
      </c>
      <c r="K353" s="21">
        <v>46290</v>
      </c>
    </row>
    <row r="354" ht="69" customHeight="1" spans="1:11" x14ac:dyDescent="0.25">
      <c r="A354" s="17" t="s">
        <v>216</v>
      </c>
      <c r="B354" s="17" t="s">
        <v>217</v>
      </c>
      <c r="C354" s="18" t="s">
        <v>219</v>
      </c>
      <c r="D354" s="16" t="s">
        <v>547</v>
      </c>
      <c r="E354" s="16" t="s">
        <v>357</v>
      </c>
      <c r="F354" s="16"/>
      <c r="G354" s="16" t="s">
        <v>642</v>
      </c>
      <c r="H354" s="16"/>
      <c r="I354" s="16" t="s">
        <v>640</v>
      </c>
      <c r="J354" s="16" t="s">
        <v>641</v>
      </c>
      <c r="K354" s="21">
        <v>46290</v>
      </c>
    </row>
    <row r="355" ht="69" customHeight="1" spans="1:11" x14ac:dyDescent="0.25">
      <c r="A355" s="17" t="s">
        <v>216</v>
      </c>
      <c r="B355" s="17" t="s">
        <v>217</v>
      </c>
      <c r="C355" s="18" t="s">
        <v>219</v>
      </c>
      <c r="D355" s="16" t="s">
        <v>610</v>
      </c>
      <c r="E355" s="16" t="s">
        <v>358</v>
      </c>
      <c r="F355" s="16"/>
      <c r="G355" s="16" t="s">
        <v>527</v>
      </c>
      <c r="H355" s="16"/>
      <c r="I355" s="16" t="s">
        <v>638</v>
      </c>
      <c r="J355" s="16" t="s">
        <v>223</v>
      </c>
      <c r="K355" s="21">
        <v>46290</v>
      </c>
    </row>
    <row r="356" ht="69" customHeight="1" spans="1:11" x14ac:dyDescent="0.25">
      <c r="A356" s="17" t="s">
        <v>225</v>
      </c>
      <c r="B356" s="17" t="s">
        <v>226</v>
      </c>
      <c r="C356" s="18" t="s">
        <v>227</v>
      </c>
      <c r="D356" s="16" t="s">
        <v>489</v>
      </c>
      <c r="E356" s="16" t="s">
        <v>225</v>
      </c>
      <c r="F356" s="16"/>
      <c r="G356" s="16" t="s">
        <v>490</v>
      </c>
      <c r="H356" s="16" t="s">
        <v>491</v>
      </c>
      <c r="I356" s="16" t="s">
        <v>447</v>
      </c>
      <c r="J356" s="16" t="s">
        <v>448</v>
      </c>
      <c r="K356" s="21">
        <v>46290</v>
      </c>
    </row>
    <row r="357" ht="69" customHeight="1" spans="1:11" x14ac:dyDescent="0.25">
      <c r="A357" s="17" t="s">
        <v>225</v>
      </c>
      <c r="B357" s="17" t="s">
        <v>226</v>
      </c>
      <c r="C357" s="18" t="s">
        <v>227</v>
      </c>
      <c r="D357" s="16" t="s">
        <v>492</v>
      </c>
      <c r="E357" s="16" t="s">
        <v>226</v>
      </c>
      <c r="F357" s="16"/>
      <c r="G357" s="16" t="s">
        <v>493</v>
      </c>
      <c r="H357" s="16" t="s">
        <v>494</v>
      </c>
      <c r="I357" s="16" t="s">
        <v>643</v>
      </c>
      <c r="J357" s="16" t="s">
        <v>231</v>
      </c>
      <c r="K357" s="21">
        <v>46290</v>
      </c>
    </row>
    <row r="358" ht="69" customHeight="1" spans="1:11" x14ac:dyDescent="0.25">
      <c r="A358" s="17" t="s">
        <v>225</v>
      </c>
      <c r="B358" s="17" t="s">
        <v>226</v>
      </c>
      <c r="C358" s="18" t="s">
        <v>227</v>
      </c>
      <c r="D358" s="16" t="s">
        <v>499</v>
      </c>
      <c r="E358" s="16">
        <v>2022</v>
      </c>
      <c r="F358" s="16" t="s">
        <v>500</v>
      </c>
      <c r="G358" s="16" t="s">
        <v>388</v>
      </c>
      <c r="H358" s="16" t="s">
        <v>501</v>
      </c>
      <c r="I358" s="16" t="s">
        <v>643</v>
      </c>
      <c r="J358" s="16" t="s">
        <v>231</v>
      </c>
      <c r="K358" s="21">
        <v>46290</v>
      </c>
    </row>
    <row r="359" ht="69" customHeight="1" spans="1:11" x14ac:dyDescent="0.25">
      <c r="A359" s="17" t="s">
        <v>225</v>
      </c>
      <c r="B359" s="17" t="s">
        <v>226</v>
      </c>
      <c r="C359" s="18" t="s">
        <v>227</v>
      </c>
      <c r="D359" s="16" t="s">
        <v>41</v>
      </c>
      <c r="E359" s="16" t="s">
        <v>227</v>
      </c>
      <c r="F359" s="16"/>
      <c r="G359" s="16" t="s">
        <v>502</v>
      </c>
      <c r="H359" s="16" t="s">
        <v>503</v>
      </c>
      <c r="I359" s="16" t="s">
        <v>644</v>
      </c>
      <c r="J359" s="16" t="s">
        <v>232</v>
      </c>
      <c r="K359" s="21">
        <v>46290</v>
      </c>
    </row>
    <row r="360" ht="69" customHeight="1" spans="1:11" x14ac:dyDescent="0.25">
      <c r="A360" s="17" t="s">
        <v>225</v>
      </c>
      <c r="B360" s="17" t="s">
        <v>226</v>
      </c>
      <c r="C360" s="18" t="s">
        <v>227</v>
      </c>
      <c r="D360" s="16" t="s">
        <v>42</v>
      </c>
      <c r="E360" s="16" t="s">
        <v>228</v>
      </c>
      <c r="F360" s="16"/>
      <c r="G360" s="16" t="s">
        <v>504</v>
      </c>
      <c r="H360" s="16" t="s">
        <v>66</v>
      </c>
      <c r="I360" s="16" t="s">
        <v>644</v>
      </c>
      <c r="J360" s="16" t="s">
        <v>232</v>
      </c>
      <c r="K360" s="21">
        <v>46290</v>
      </c>
    </row>
    <row r="361" ht="69" customHeight="1" spans="1:11" x14ac:dyDescent="0.25">
      <c r="A361" s="17" t="s">
        <v>225</v>
      </c>
      <c r="B361" s="17" t="s">
        <v>226</v>
      </c>
      <c r="C361" s="18" t="s">
        <v>227</v>
      </c>
      <c r="D361" s="16" t="s">
        <v>43</v>
      </c>
      <c r="E361" s="16" t="s">
        <v>229</v>
      </c>
      <c r="F361" s="16"/>
      <c r="G361" s="16" t="s">
        <v>504</v>
      </c>
      <c r="H361" s="16" t="s">
        <v>66</v>
      </c>
      <c r="I361" s="16" t="s">
        <v>644</v>
      </c>
      <c r="J361" s="16" t="s">
        <v>232</v>
      </c>
      <c r="K361" s="21">
        <v>46290</v>
      </c>
    </row>
    <row r="362" ht="69" customHeight="1" spans="1:11" x14ac:dyDescent="0.25">
      <c r="A362" s="17" t="s">
        <v>225</v>
      </c>
      <c r="B362" s="17" t="s">
        <v>226</v>
      </c>
      <c r="C362" s="18" t="s">
        <v>227</v>
      </c>
      <c r="D362" s="16" t="s">
        <v>505</v>
      </c>
      <c r="E362" s="16" t="s">
        <v>104</v>
      </c>
      <c r="F362" s="16"/>
      <c r="G362" s="16" t="s">
        <v>506</v>
      </c>
      <c r="H362" s="16" t="s">
        <v>66</v>
      </c>
      <c r="I362" s="16" t="s">
        <v>644</v>
      </c>
      <c r="J362" s="16" t="s">
        <v>232</v>
      </c>
      <c r="K362" s="21">
        <v>46290</v>
      </c>
    </row>
    <row r="363" ht="69" customHeight="1" spans="1:11" x14ac:dyDescent="0.25">
      <c r="A363" s="17" t="s">
        <v>225</v>
      </c>
      <c r="B363" s="17" t="s">
        <v>226</v>
      </c>
      <c r="C363" s="18" t="s">
        <v>227</v>
      </c>
      <c r="D363" s="16" t="s">
        <v>507</v>
      </c>
      <c r="E363" s="16">
        <v>117</v>
      </c>
      <c r="F363" s="16" t="s">
        <v>508</v>
      </c>
      <c r="G363" s="16" t="s">
        <v>509</v>
      </c>
      <c r="H363" s="16" t="s">
        <v>510</v>
      </c>
      <c r="I363" s="16" t="s">
        <v>643</v>
      </c>
      <c r="J363" s="16" t="s">
        <v>231</v>
      </c>
      <c r="K363" s="21">
        <v>46290</v>
      </c>
    </row>
    <row r="364" ht="69" customHeight="1" spans="1:11" x14ac:dyDescent="0.25">
      <c r="A364" s="17" t="s">
        <v>225</v>
      </c>
      <c r="B364" s="17" t="s">
        <v>226</v>
      </c>
      <c r="C364" s="18" t="s">
        <v>227</v>
      </c>
      <c r="D364" s="16" t="s">
        <v>511</v>
      </c>
      <c r="E364" s="16">
        <v>16.5</v>
      </c>
      <c r="F364" s="16" t="s">
        <v>508</v>
      </c>
      <c r="G364" s="16" t="s">
        <v>512</v>
      </c>
      <c r="H364" s="16" t="s">
        <v>513</v>
      </c>
      <c r="I364" s="16" t="s">
        <v>643</v>
      </c>
      <c r="J364" s="16" t="s">
        <v>231</v>
      </c>
      <c r="K364" s="21">
        <v>46290</v>
      </c>
    </row>
    <row r="365" ht="69" customHeight="1" spans="1:11" x14ac:dyDescent="0.25">
      <c r="A365" s="17" t="s">
        <v>225</v>
      </c>
      <c r="B365" s="17" t="s">
        <v>226</v>
      </c>
      <c r="C365" s="18" t="s">
        <v>227</v>
      </c>
      <c r="D365" s="16" t="s">
        <v>514</v>
      </c>
      <c r="E365" s="16">
        <v>4978</v>
      </c>
      <c r="F365" s="16" t="s">
        <v>515</v>
      </c>
      <c r="G365" s="16" t="s">
        <v>516</v>
      </c>
      <c r="H365" s="16" t="s">
        <v>517</v>
      </c>
      <c r="I365" s="16" t="s">
        <v>644</v>
      </c>
      <c r="J365" s="16" t="s">
        <v>232</v>
      </c>
      <c r="K365" s="21">
        <v>46290</v>
      </c>
    </row>
    <row r="366" ht="69" customHeight="1" spans="1:11" x14ac:dyDescent="0.25">
      <c r="A366" s="17" t="s">
        <v>225</v>
      </c>
      <c r="B366" s="17" t="s">
        <v>226</v>
      </c>
      <c r="C366" s="18" t="s">
        <v>227</v>
      </c>
      <c r="D366" s="16" t="s">
        <v>518</v>
      </c>
      <c r="E366" s="16">
        <v>117</v>
      </c>
      <c r="F366" s="16" t="s">
        <v>508</v>
      </c>
      <c r="G366" s="16" t="s">
        <v>519</v>
      </c>
      <c r="H366" s="16" t="s">
        <v>230</v>
      </c>
      <c r="I366" s="16" t="s">
        <v>644</v>
      </c>
      <c r="J366" s="16" t="s">
        <v>232</v>
      </c>
      <c r="K366" s="21">
        <v>46290</v>
      </c>
    </row>
    <row r="367" ht="69" customHeight="1" spans="1:11" x14ac:dyDescent="0.25">
      <c r="A367" s="17" t="s">
        <v>225</v>
      </c>
      <c r="B367" s="17" t="s">
        <v>226</v>
      </c>
      <c r="C367" s="18" t="s">
        <v>227</v>
      </c>
      <c r="D367" s="16" t="s">
        <v>520</v>
      </c>
      <c r="E367" s="16">
        <v>17</v>
      </c>
      <c r="F367" s="16" t="s">
        <v>508</v>
      </c>
      <c r="G367" s="16" t="s">
        <v>519</v>
      </c>
      <c r="H367" s="16" t="s">
        <v>230</v>
      </c>
      <c r="I367" s="16" t="s">
        <v>644</v>
      </c>
      <c r="J367" s="16" t="s">
        <v>232</v>
      </c>
      <c r="K367" s="21">
        <v>46290</v>
      </c>
    </row>
    <row r="368" ht="69" customHeight="1" spans="1:11" x14ac:dyDescent="0.25">
      <c r="A368" s="17" t="s">
        <v>225</v>
      </c>
      <c r="B368" s="17" t="s">
        <v>226</v>
      </c>
      <c r="C368" s="18" t="s">
        <v>227</v>
      </c>
      <c r="D368" s="16" t="s">
        <v>516</v>
      </c>
      <c r="E368" s="16">
        <v>4978</v>
      </c>
      <c r="F368" s="16" t="s">
        <v>515</v>
      </c>
      <c r="G368" s="16" t="s">
        <v>521</v>
      </c>
      <c r="H368" s="16" t="s">
        <v>522</v>
      </c>
      <c r="I368" s="16" t="s">
        <v>644</v>
      </c>
      <c r="J368" s="16" t="s">
        <v>232</v>
      </c>
      <c r="K368" s="21">
        <v>46290</v>
      </c>
    </row>
    <row r="369" ht="69" customHeight="1" spans="1:11" x14ac:dyDescent="0.25">
      <c r="A369" s="17" t="s">
        <v>225</v>
      </c>
      <c r="B369" s="17" t="s">
        <v>226</v>
      </c>
      <c r="C369" s="18" t="s">
        <v>227</v>
      </c>
      <c r="D369" s="16" t="s">
        <v>602</v>
      </c>
      <c r="E369" s="16">
        <v>2022</v>
      </c>
      <c r="F369" s="16" t="s">
        <v>500</v>
      </c>
      <c r="G369" s="16" t="s">
        <v>603</v>
      </c>
      <c r="H369" s="16" t="s">
        <v>604</v>
      </c>
      <c r="I369" s="16" t="s">
        <v>644</v>
      </c>
      <c r="J369" s="16" t="s">
        <v>232</v>
      </c>
      <c r="K369" s="21">
        <v>46290</v>
      </c>
    </row>
    <row r="370" ht="69" customHeight="1" spans="1:11" x14ac:dyDescent="0.25">
      <c r="A370" s="17" t="s">
        <v>225</v>
      </c>
      <c r="B370" s="17" t="s">
        <v>226</v>
      </c>
      <c r="C370" s="18" t="s">
        <v>227</v>
      </c>
      <c r="D370" s="16" t="s">
        <v>276</v>
      </c>
      <c r="E370" s="16" t="s">
        <v>355</v>
      </c>
      <c r="F370" s="16"/>
      <c r="G370" s="16" t="s">
        <v>606</v>
      </c>
      <c r="H370" s="16"/>
      <c r="I370" s="16" t="s">
        <v>645</v>
      </c>
      <c r="J370" s="16" t="s">
        <v>646</v>
      </c>
      <c r="K370" s="21">
        <v>46290</v>
      </c>
    </row>
    <row r="371" ht="69" customHeight="1" spans="1:11" x14ac:dyDescent="0.25">
      <c r="A371" s="17" t="s">
        <v>225</v>
      </c>
      <c r="B371" s="17" t="s">
        <v>226</v>
      </c>
      <c r="C371" s="18" t="s">
        <v>227</v>
      </c>
      <c r="D371" s="16" t="s">
        <v>277</v>
      </c>
      <c r="E371" s="16" t="s">
        <v>330</v>
      </c>
      <c r="F371" s="16"/>
      <c r="G371" s="16" t="s">
        <v>528</v>
      </c>
      <c r="H371" s="16"/>
      <c r="I371" s="16" t="s">
        <v>643</v>
      </c>
      <c r="J371" s="16" t="s">
        <v>231</v>
      </c>
      <c r="K371" s="21">
        <v>46290</v>
      </c>
    </row>
    <row r="372" ht="69" customHeight="1" spans="1:11" x14ac:dyDescent="0.25">
      <c r="A372" s="17" t="s">
        <v>225</v>
      </c>
      <c r="B372" s="17" t="s">
        <v>226</v>
      </c>
      <c r="C372" s="18" t="s">
        <v>227</v>
      </c>
      <c r="D372" s="16" t="s">
        <v>278</v>
      </c>
      <c r="E372" s="16" t="s">
        <v>331</v>
      </c>
      <c r="F372" s="16"/>
      <c r="G372" s="16" t="s">
        <v>529</v>
      </c>
      <c r="H372" s="16"/>
      <c r="I372" s="16" t="s">
        <v>643</v>
      </c>
      <c r="J372" s="16" t="s">
        <v>231</v>
      </c>
      <c r="K372" s="21">
        <v>46290</v>
      </c>
    </row>
    <row r="373" ht="69" customHeight="1" spans="1:11" x14ac:dyDescent="0.25">
      <c r="A373" s="17" t="s">
        <v>225</v>
      </c>
      <c r="B373" s="17" t="s">
        <v>226</v>
      </c>
      <c r="C373" s="18" t="s">
        <v>227</v>
      </c>
      <c r="D373" s="16" t="s">
        <v>534</v>
      </c>
      <c r="E373" s="16">
        <v>16</v>
      </c>
      <c r="F373" s="16" t="s">
        <v>535</v>
      </c>
      <c r="G373" s="16" t="s">
        <v>647</v>
      </c>
      <c r="H373" s="16"/>
      <c r="I373" s="16" t="s">
        <v>643</v>
      </c>
      <c r="J373" s="16" t="s">
        <v>231</v>
      </c>
      <c r="K373" s="21">
        <v>46290</v>
      </c>
    </row>
    <row r="374" ht="69" customHeight="1" spans="1:11" x14ac:dyDescent="0.25">
      <c r="A374" s="17" t="s">
        <v>233</v>
      </c>
      <c r="B374" s="17" t="s">
        <v>234</v>
      </c>
      <c r="C374" s="18" t="s">
        <v>235</v>
      </c>
      <c r="D374" s="16" t="s">
        <v>489</v>
      </c>
      <c r="E374" s="16" t="s">
        <v>233</v>
      </c>
      <c r="F374" s="16"/>
      <c r="G374" s="16" t="s">
        <v>490</v>
      </c>
      <c r="H374" s="16" t="s">
        <v>491</v>
      </c>
      <c r="I374" s="16" t="s">
        <v>233</v>
      </c>
      <c r="J374" s="16" t="s">
        <v>470</v>
      </c>
      <c r="K374" s="21">
        <v>46290</v>
      </c>
    </row>
    <row r="375" ht="69" customHeight="1" spans="1:11" x14ac:dyDescent="0.25">
      <c r="A375" s="17" t="s">
        <v>233</v>
      </c>
      <c r="B375" s="17" t="s">
        <v>234</v>
      </c>
      <c r="C375" s="18" t="s">
        <v>235</v>
      </c>
      <c r="D375" s="16" t="s">
        <v>492</v>
      </c>
      <c r="E375" s="16" t="s">
        <v>234</v>
      </c>
      <c r="F375" s="16"/>
      <c r="G375" s="16" t="s">
        <v>493</v>
      </c>
      <c r="H375" s="16" t="s">
        <v>494</v>
      </c>
      <c r="I375" s="16" t="s">
        <v>648</v>
      </c>
      <c r="J375" s="16" t="s">
        <v>239</v>
      </c>
      <c r="K375" s="21">
        <v>46290</v>
      </c>
    </row>
    <row r="376" ht="69" customHeight="1" spans="1:11" x14ac:dyDescent="0.25">
      <c r="A376" s="17" t="s">
        <v>233</v>
      </c>
      <c r="B376" s="17" t="s">
        <v>234</v>
      </c>
      <c r="C376" s="18" t="s">
        <v>235</v>
      </c>
      <c r="D376" s="16" t="s">
        <v>499</v>
      </c>
      <c r="E376" s="16">
        <v>2023</v>
      </c>
      <c r="F376" s="16" t="s">
        <v>500</v>
      </c>
      <c r="G376" s="16" t="s">
        <v>388</v>
      </c>
      <c r="H376" s="16" t="s">
        <v>501</v>
      </c>
      <c r="I376" s="16" t="s">
        <v>648</v>
      </c>
      <c r="J376" s="16" t="s">
        <v>239</v>
      </c>
      <c r="K376" s="21">
        <v>46290</v>
      </c>
    </row>
    <row r="377" ht="69" customHeight="1" spans="1:11" x14ac:dyDescent="0.25">
      <c r="A377" s="17" t="s">
        <v>233</v>
      </c>
      <c r="B377" s="17" t="s">
        <v>234</v>
      </c>
      <c r="C377" s="18" t="s">
        <v>235</v>
      </c>
      <c r="D377" s="16" t="s">
        <v>41</v>
      </c>
      <c r="E377" s="16" t="s">
        <v>235</v>
      </c>
      <c r="F377" s="16"/>
      <c r="G377" s="16" t="s">
        <v>502</v>
      </c>
      <c r="H377" s="16" t="s">
        <v>503</v>
      </c>
      <c r="I377" s="16" t="s">
        <v>649</v>
      </c>
      <c r="J377" s="16" t="s">
        <v>240</v>
      </c>
      <c r="K377" s="21">
        <v>46290</v>
      </c>
    </row>
    <row r="378" ht="69" customHeight="1" spans="1:11" x14ac:dyDescent="0.25">
      <c r="A378" s="17" t="s">
        <v>233</v>
      </c>
      <c r="B378" s="17" t="s">
        <v>234</v>
      </c>
      <c r="C378" s="18" t="s">
        <v>235</v>
      </c>
      <c r="D378" s="16" t="s">
        <v>42</v>
      </c>
      <c r="E378" s="16" t="s">
        <v>236</v>
      </c>
      <c r="F378" s="16"/>
      <c r="G378" s="16" t="s">
        <v>504</v>
      </c>
      <c r="H378" s="16" t="s">
        <v>66</v>
      </c>
      <c r="I378" s="16" t="s">
        <v>649</v>
      </c>
      <c r="J378" s="16" t="s">
        <v>240</v>
      </c>
      <c r="K378" s="21">
        <v>46290</v>
      </c>
    </row>
    <row r="379" ht="69" customHeight="1" spans="1:11" x14ac:dyDescent="0.25">
      <c r="A379" s="17" t="s">
        <v>233</v>
      </c>
      <c r="B379" s="17" t="s">
        <v>234</v>
      </c>
      <c r="C379" s="18" t="s">
        <v>235</v>
      </c>
      <c r="D379" s="16" t="s">
        <v>43</v>
      </c>
      <c r="E379" s="16" t="s">
        <v>237</v>
      </c>
      <c r="F379" s="16"/>
      <c r="G379" s="16" t="s">
        <v>504</v>
      </c>
      <c r="H379" s="16" t="s">
        <v>66</v>
      </c>
      <c r="I379" s="16" t="s">
        <v>649</v>
      </c>
      <c r="J379" s="16" t="s">
        <v>240</v>
      </c>
      <c r="K379" s="21">
        <v>46290</v>
      </c>
    </row>
    <row r="380" ht="69" customHeight="1" spans="1:11" x14ac:dyDescent="0.25">
      <c r="A380" s="17" t="s">
        <v>233</v>
      </c>
      <c r="B380" s="17" t="s">
        <v>234</v>
      </c>
      <c r="C380" s="18" t="s">
        <v>235</v>
      </c>
      <c r="D380" s="16" t="s">
        <v>505</v>
      </c>
      <c r="E380" s="16" t="s">
        <v>104</v>
      </c>
      <c r="F380" s="16"/>
      <c r="G380" s="16" t="s">
        <v>506</v>
      </c>
      <c r="H380" s="16" t="s">
        <v>66</v>
      </c>
      <c r="I380" s="16" t="s">
        <v>649</v>
      </c>
      <c r="J380" s="16" t="s">
        <v>240</v>
      </c>
      <c r="K380" s="21">
        <v>46290</v>
      </c>
    </row>
    <row r="381" ht="69" customHeight="1" spans="1:11" x14ac:dyDescent="0.25">
      <c r="A381" s="17" t="s">
        <v>233</v>
      </c>
      <c r="B381" s="17" t="s">
        <v>234</v>
      </c>
      <c r="C381" s="18" t="s">
        <v>235</v>
      </c>
      <c r="D381" s="16" t="s">
        <v>507</v>
      </c>
      <c r="E381" s="16">
        <v>109</v>
      </c>
      <c r="F381" s="16" t="s">
        <v>508</v>
      </c>
      <c r="G381" s="16" t="s">
        <v>509</v>
      </c>
      <c r="H381" s="16" t="s">
        <v>510</v>
      </c>
      <c r="I381" s="16" t="s">
        <v>648</v>
      </c>
      <c r="J381" s="16" t="s">
        <v>239</v>
      </c>
      <c r="K381" s="21">
        <v>46290</v>
      </c>
    </row>
    <row r="382" ht="69" customHeight="1" spans="1:11" x14ac:dyDescent="0.25">
      <c r="A382" s="17" t="s">
        <v>233</v>
      </c>
      <c r="B382" s="17" t="s">
        <v>234</v>
      </c>
      <c r="C382" s="18" t="s">
        <v>235</v>
      </c>
      <c r="D382" s="16" t="s">
        <v>511</v>
      </c>
      <c r="E382" s="16">
        <v>16</v>
      </c>
      <c r="F382" s="16" t="s">
        <v>508</v>
      </c>
      <c r="G382" s="16" t="s">
        <v>512</v>
      </c>
      <c r="H382" s="16" t="s">
        <v>513</v>
      </c>
      <c r="I382" s="16" t="s">
        <v>648</v>
      </c>
      <c r="J382" s="16" t="s">
        <v>239</v>
      </c>
      <c r="K382" s="21">
        <v>46290</v>
      </c>
    </row>
    <row r="383" ht="69" customHeight="1" spans="1:11" x14ac:dyDescent="0.25">
      <c r="A383" s="17" t="s">
        <v>233</v>
      </c>
      <c r="B383" s="17" t="s">
        <v>234</v>
      </c>
      <c r="C383" s="18" t="s">
        <v>235</v>
      </c>
      <c r="D383" s="16" t="s">
        <v>514</v>
      </c>
      <c r="E383" s="16">
        <v>4444</v>
      </c>
      <c r="F383" s="16" t="s">
        <v>515</v>
      </c>
      <c r="G383" s="16" t="s">
        <v>516</v>
      </c>
      <c r="H383" s="16" t="s">
        <v>517</v>
      </c>
      <c r="I383" s="16" t="s">
        <v>649</v>
      </c>
      <c r="J383" s="16" t="s">
        <v>240</v>
      </c>
      <c r="K383" s="21">
        <v>46290</v>
      </c>
    </row>
    <row r="384" ht="69" customHeight="1" spans="1:11" x14ac:dyDescent="0.25">
      <c r="A384" s="17" t="s">
        <v>233</v>
      </c>
      <c r="B384" s="17" t="s">
        <v>234</v>
      </c>
      <c r="C384" s="18" t="s">
        <v>235</v>
      </c>
      <c r="D384" s="16" t="s">
        <v>518</v>
      </c>
      <c r="E384" s="16">
        <v>125</v>
      </c>
      <c r="F384" s="16" t="s">
        <v>508</v>
      </c>
      <c r="G384" s="16" t="s">
        <v>519</v>
      </c>
      <c r="H384" s="16" t="s">
        <v>238</v>
      </c>
      <c r="I384" s="16" t="s">
        <v>649</v>
      </c>
      <c r="J384" s="16" t="s">
        <v>240</v>
      </c>
      <c r="K384" s="21">
        <v>46290</v>
      </c>
    </row>
    <row r="385" ht="69" customHeight="1" spans="1:11" x14ac:dyDescent="0.25">
      <c r="A385" s="17" t="s">
        <v>233</v>
      </c>
      <c r="B385" s="17" t="s">
        <v>234</v>
      </c>
      <c r="C385" s="18" t="s">
        <v>235</v>
      </c>
      <c r="D385" s="16" t="s">
        <v>520</v>
      </c>
      <c r="E385" s="16">
        <v>17</v>
      </c>
      <c r="F385" s="16" t="s">
        <v>508</v>
      </c>
      <c r="G385" s="16" t="s">
        <v>519</v>
      </c>
      <c r="H385" s="16" t="s">
        <v>238</v>
      </c>
      <c r="I385" s="16" t="s">
        <v>649</v>
      </c>
      <c r="J385" s="16" t="s">
        <v>240</v>
      </c>
      <c r="K385" s="21">
        <v>46290</v>
      </c>
    </row>
    <row r="386" ht="69" customHeight="1" spans="1:11" x14ac:dyDescent="0.25">
      <c r="A386" s="17" t="s">
        <v>233</v>
      </c>
      <c r="B386" s="17" t="s">
        <v>234</v>
      </c>
      <c r="C386" s="18" t="s">
        <v>235</v>
      </c>
      <c r="D386" s="16" t="s">
        <v>516</v>
      </c>
      <c r="E386" s="16">
        <v>4444</v>
      </c>
      <c r="F386" s="16" t="s">
        <v>515</v>
      </c>
      <c r="G386" s="16" t="s">
        <v>521</v>
      </c>
      <c r="H386" s="16" t="s">
        <v>522</v>
      </c>
      <c r="I386" s="16" t="s">
        <v>649</v>
      </c>
      <c r="J386" s="16" t="s">
        <v>240</v>
      </c>
      <c r="K386" s="21">
        <v>46290</v>
      </c>
    </row>
    <row r="387" ht="69" customHeight="1" spans="1:11" x14ac:dyDescent="0.25">
      <c r="A387" s="17" t="s">
        <v>233</v>
      </c>
      <c r="B387" s="17" t="s">
        <v>234</v>
      </c>
      <c r="C387" s="18" t="s">
        <v>235</v>
      </c>
      <c r="D387" s="16" t="s">
        <v>602</v>
      </c>
      <c r="E387" s="16">
        <v>2022</v>
      </c>
      <c r="F387" s="16" t="s">
        <v>500</v>
      </c>
      <c r="G387" s="16" t="s">
        <v>603</v>
      </c>
      <c r="H387" s="16" t="s">
        <v>604</v>
      </c>
      <c r="I387" s="16" t="s">
        <v>649</v>
      </c>
      <c r="J387" s="16" t="s">
        <v>240</v>
      </c>
      <c r="K387" s="21">
        <v>46290</v>
      </c>
    </row>
    <row r="388" ht="69" customHeight="1" spans="1:11" x14ac:dyDescent="0.25">
      <c r="A388" s="17" t="s">
        <v>233</v>
      </c>
      <c r="B388" s="17" t="s">
        <v>234</v>
      </c>
      <c r="C388" s="18" t="s">
        <v>235</v>
      </c>
      <c r="D388" s="16" t="s">
        <v>276</v>
      </c>
      <c r="E388" s="16" t="s">
        <v>355</v>
      </c>
      <c r="F388" s="16"/>
      <c r="G388" s="16" t="s">
        <v>606</v>
      </c>
      <c r="H388" s="16"/>
      <c r="I388" s="16" t="s">
        <v>650</v>
      </c>
      <c r="J388" s="16" t="s">
        <v>651</v>
      </c>
      <c r="K388" s="21">
        <v>46290</v>
      </c>
    </row>
    <row r="389" ht="69" customHeight="1" spans="1:11" x14ac:dyDescent="0.25">
      <c r="A389" s="17" t="s">
        <v>233</v>
      </c>
      <c r="B389" s="17" t="s">
        <v>234</v>
      </c>
      <c r="C389" s="18" t="s">
        <v>235</v>
      </c>
      <c r="D389" s="16" t="s">
        <v>277</v>
      </c>
      <c r="E389" s="16" t="s">
        <v>363</v>
      </c>
      <c r="F389" s="16"/>
      <c r="G389" s="16" t="s">
        <v>528</v>
      </c>
      <c r="H389" s="16"/>
      <c r="I389" s="16" t="s">
        <v>648</v>
      </c>
      <c r="J389" s="16" t="s">
        <v>239</v>
      </c>
      <c r="K389" s="21">
        <v>46290</v>
      </c>
    </row>
    <row r="390" ht="69" customHeight="1" spans="1:11" x14ac:dyDescent="0.25">
      <c r="A390" s="17" t="s">
        <v>233</v>
      </c>
      <c r="B390" s="17" t="s">
        <v>234</v>
      </c>
      <c r="C390" s="18" t="s">
        <v>235</v>
      </c>
      <c r="D390" s="16" t="s">
        <v>278</v>
      </c>
      <c r="E390" s="16" t="s">
        <v>364</v>
      </c>
      <c r="F390" s="16"/>
      <c r="G390" s="16" t="s">
        <v>529</v>
      </c>
      <c r="H390" s="16"/>
      <c r="I390" s="16" t="s">
        <v>648</v>
      </c>
      <c r="J390" s="16" t="s">
        <v>239</v>
      </c>
      <c r="K390" s="21">
        <v>46290</v>
      </c>
    </row>
    <row r="391" ht="69" customHeight="1" spans="1:11" x14ac:dyDescent="0.25">
      <c r="A391" s="17" t="s">
        <v>233</v>
      </c>
      <c r="B391" s="17" t="s">
        <v>234</v>
      </c>
      <c r="C391" s="18" t="s">
        <v>235</v>
      </c>
      <c r="D391" s="16" t="s">
        <v>532</v>
      </c>
      <c r="E391" s="16">
        <v>20</v>
      </c>
      <c r="F391" s="16" t="s">
        <v>531</v>
      </c>
      <c r="G391" s="16" t="s">
        <v>652</v>
      </c>
      <c r="H391" s="16"/>
      <c r="I391" s="16" t="s">
        <v>648</v>
      </c>
      <c r="J391" s="16" t="s">
        <v>239</v>
      </c>
      <c r="K391" s="21">
        <v>46290</v>
      </c>
    </row>
    <row r="392" ht="69" customHeight="1" spans="1:11" x14ac:dyDescent="0.25">
      <c r="A392" s="17" t="s">
        <v>241</v>
      </c>
      <c r="B392" s="17" t="s">
        <v>242</v>
      </c>
      <c r="C392" s="18" t="s">
        <v>244</v>
      </c>
      <c r="D392" s="16" t="s">
        <v>489</v>
      </c>
      <c r="E392" s="16" t="s">
        <v>241</v>
      </c>
      <c r="F392" s="16"/>
      <c r="G392" s="16" t="s">
        <v>490</v>
      </c>
      <c r="H392" s="16" t="s">
        <v>491</v>
      </c>
      <c r="I392" s="16" t="s">
        <v>451</v>
      </c>
      <c r="J392" s="16" t="s">
        <v>452</v>
      </c>
      <c r="K392" s="21">
        <v>46290</v>
      </c>
    </row>
    <row r="393" ht="69" customHeight="1" spans="1:11" x14ac:dyDescent="0.25">
      <c r="A393" s="17" t="s">
        <v>241</v>
      </c>
      <c r="B393" s="17" t="s">
        <v>242</v>
      </c>
      <c r="C393" s="18" t="s">
        <v>244</v>
      </c>
      <c r="D393" s="16" t="s">
        <v>492</v>
      </c>
      <c r="E393" s="16" t="s">
        <v>242</v>
      </c>
      <c r="F393" s="16"/>
      <c r="G393" s="16" t="s">
        <v>493</v>
      </c>
      <c r="H393" s="16" t="s">
        <v>494</v>
      </c>
      <c r="I393" s="16" t="s">
        <v>370</v>
      </c>
      <c r="J393" s="16" t="s">
        <v>248</v>
      </c>
      <c r="K393" s="21">
        <v>46290</v>
      </c>
    </row>
    <row r="394" ht="69" customHeight="1" spans="1:11" x14ac:dyDescent="0.25">
      <c r="A394" s="17" t="s">
        <v>241</v>
      </c>
      <c r="B394" s="17" t="s">
        <v>242</v>
      </c>
      <c r="C394" s="18" t="s">
        <v>244</v>
      </c>
      <c r="D394" s="16" t="s">
        <v>499</v>
      </c>
      <c r="E394" s="16">
        <v>2023</v>
      </c>
      <c r="F394" s="16" t="s">
        <v>500</v>
      </c>
      <c r="G394" s="16" t="s">
        <v>388</v>
      </c>
      <c r="H394" s="16" t="s">
        <v>501</v>
      </c>
      <c r="I394" s="16" t="s">
        <v>370</v>
      </c>
      <c r="J394" s="16" t="s">
        <v>248</v>
      </c>
      <c r="K394" s="21">
        <v>46290</v>
      </c>
    </row>
    <row r="395" ht="69" customHeight="1" spans="1:11" x14ac:dyDescent="0.25">
      <c r="A395" s="17" t="s">
        <v>241</v>
      </c>
      <c r="B395" s="17" t="s">
        <v>242</v>
      </c>
      <c r="C395" s="18" t="s">
        <v>244</v>
      </c>
      <c r="D395" s="16" t="s">
        <v>41</v>
      </c>
      <c r="E395" s="16" t="s">
        <v>244</v>
      </c>
      <c r="F395" s="16"/>
      <c r="G395" s="16" t="s">
        <v>502</v>
      </c>
      <c r="H395" s="16" t="s">
        <v>503</v>
      </c>
      <c r="I395" s="16" t="s">
        <v>653</v>
      </c>
      <c r="J395" s="16" t="s">
        <v>249</v>
      </c>
      <c r="K395" s="21">
        <v>46290</v>
      </c>
    </row>
    <row r="396" ht="69" customHeight="1" spans="1:11" x14ac:dyDescent="0.25">
      <c r="A396" s="17" t="s">
        <v>241</v>
      </c>
      <c r="B396" s="17" t="s">
        <v>242</v>
      </c>
      <c r="C396" s="18" t="s">
        <v>244</v>
      </c>
      <c r="D396" s="16" t="s">
        <v>42</v>
      </c>
      <c r="E396" s="16" t="s">
        <v>245</v>
      </c>
      <c r="F396" s="16"/>
      <c r="G396" s="16" t="s">
        <v>504</v>
      </c>
      <c r="H396" s="16" t="s">
        <v>66</v>
      </c>
      <c r="I396" s="16" t="s">
        <v>653</v>
      </c>
      <c r="J396" s="16" t="s">
        <v>249</v>
      </c>
      <c r="K396" s="21">
        <v>46290</v>
      </c>
    </row>
    <row r="397" ht="69" customHeight="1" spans="1:11" x14ac:dyDescent="0.25">
      <c r="A397" s="17" t="s">
        <v>241</v>
      </c>
      <c r="B397" s="17" t="s">
        <v>242</v>
      </c>
      <c r="C397" s="18" t="s">
        <v>244</v>
      </c>
      <c r="D397" s="16" t="s">
        <v>43</v>
      </c>
      <c r="E397" s="16" t="s">
        <v>246</v>
      </c>
      <c r="F397" s="16"/>
      <c r="G397" s="16" t="s">
        <v>504</v>
      </c>
      <c r="H397" s="16" t="s">
        <v>66</v>
      </c>
      <c r="I397" s="16" t="s">
        <v>653</v>
      </c>
      <c r="J397" s="16" t="s">
        <v>249</v>
      </c>
      <c r="K397" s="21">
        <v>46290</v>
      </c>
    </row>
    <row r="398" ht="69" customHeight="1" spans="1:11" x14ac:dyDescent="0.25">
      <c r="A398" s="17" t="s">
        <v>241</v>
      </c>
      <c r="B398" s="17" t="s">
        <v>242</v>
      </c>
      <c r="C398" s="18" t="s">
        <v>244</v>
      </c>
      <c r="D398" s="16" t="s">
        <v>505</v>
      </c>
      <c r="E398" s="16" t="s">
        <v>104</v>
      </c>
      <c r="F398" s="16"/>
      <c r="G398" s="16" t="s">
        <v>506</v>
      </c>
      <c r="H398" s="16" t="s">
        <v>66</v>
      </c>
      <c r="I398" s="16" t="s">
        <v>653</v>
      </c>
      <c r="J398" s="16" t="s">
        <v>249</v>
      </c>
      <c r="K398" s="21">
        <v>46290</v>
      </c>
    </row>
    <row r="399" ht="69" customHeight="1" spans="1:11" x14ac:dyDescent="0.25">
      <c r="A399" s="17" t="s">
        <v>241</v>
      </c>
      <c r="B399" s="17" t="s">
        <v>242</v>
      </c>
      <c r="C399" s="18" t="s">
        <v>244</v>
      </c>
      <c r="D399" s="16" t="s">
        <v>507</v>
      </c>
      <c r="E399" s="16">
        <v>125</v>
      </c>
      <c r="F399" s="16" t="s">
        <v>508</v>
      </c>
      <c r="G399" s="16" t="s">
        <v>509</v>
      </c>
      <c r="H399" s="16" t="s">
        <v>510</v>
      </c>
      <c r="I399" s="16" t="s">
        <v>370</v>
      </c>
      <c r="J399" s="16" t="s">
        <v>248</v>
      </c>
      <c r="K399" s="21">
        <v>46290</v>
      </c>
    </row>
    <row r="400" ht="69" customHeight="1" spans="1:11" x14ac:dyDescent="0.25">
      <c r="A400" s="17" t="s">
        <v>241</v>
      </c>
      <c r="B400" s="17" t="s">
        <v>242</v>
      </c>
      <c r="C400" s="18" t="s">
        <v>244</v>
      </c>
      <c r="D400" s="16" t="s">
        <v>511</v>
      </c>
      <c r="E400" s="16">
        <v>17.2</v>
      </c>
      <c r="F400" s="16" t="s">
        <v>508</v>
      </c>
      <c r="G400" s="16" t="s">
        <v>512</v>
      </c>
      <c r="H400" s="16" t="s">
        <v>513</v>
      </c>
      <c r="I400" s="16" t="s">
        <v>370</v>
      </c>
      <c r="J400" s="16" t="s">
        <v>248</v>
      </c>
      <c r="K400" s="21">
        <v>46290</v>
      </c>
    </row>
    <row r="401" ht="69" customHeight="1" spans="1:11" x14ac:dyDescent="0.25">
      <c r="A401" s="17" t="s">
        <v>241</v>
      </c>
      <c r="B401" s="17" t="s">
        <v>242</v>
      </c>
      <c r="C401" s="18" t="s">
        <v>244</v>
      </c>
      <c r="D401" s="16" t="s">
        <v>514</v>
      </c>
      <c r="E401" s="16">
        <v>3493</v>
      </c>
      <c r="F401" s="16" t="s">
        <v>515</v>
      </c>
      <c r="G401" s="16" t="s">
        <v>516</v>
      </c>
      <c r="H401" s="16" t="s">
        <v>517</v>
      </c>
      <c r="I401" s="16" t="s">
        <v>653</v>
      </c>
      <c r="J401" s="16" t="s">
        <v>249</v>
      </c>
      <c r="K401" s="21">
        <v>46290</v>
      </c>
    </row>
    <row r="402" ht="69" customHeight="1" spans="1:11" x14ac:dyDescent="0.25">
      <c r="A402" s="17" t="s">
        <v>241</v>
      </c>
      <c r="B402" s="17" t="s">
        <v>242</v>
      </c>
      <c r="C402" s="18" t="s">
        <v>244</v>
      </c>
      <c r="D402" s="16" t="s">
        <v>518</v>
      </c>
      <c r="E402" s="16">
        <v>125</v>
      </c>
      <c r="F402" s="16" t="s">
        <v>508</v>
      </c>
      <c r="G402" s="16" t="s">
        <v>519</v>
      </c>
      <c r="H402" s="16" t="s">
        <v>247</v>
      </c>
      <c r="I402" s="16" t="s">
        <v>653</v>
      </c>
      <c r="J402" s="16" t="s">
        <v>249</v>
      </c>
      <c r="K402" s="21">
        <v>46290</v>
      </c>
    </row>
    <row r="403" ht="69" customHeight="1" spans="1:11" x14ac:dyDescent="0.25">
      <c r="A403" s="17" t="s">
        <v>241</v>
      </c>
      <c r="B403" s="17" t="s">
        <v>242</v>
      </c>
      <c r="C403" s="18" t="s">
        <v>244</v>
      </c>
      <c r="D403" s="16" t="s">
        <v>520</v>
      </c>
      <c r="E403" s="16">
        <v>17</v>
      </c>
      <c r="F403" s="16" t="s">
        <v>508</v>
      </c>
      <c r="G403" s="16" t="s">
        <v>519</v>
      </c>
      <c r="H403" s="16" t="s">
        <v>247</v>
      </c>
      <c r="I403" s="16" t="s">
        <v>653</v>
      </c>
      <c r="J403" s="16" t="s">
        <v>249</v>
      </c>
      <c r="K403" s="21">
        <v>46290</v>
      </c>
    </row>
    <row r="404" ht="69" customHeight="1" spans="1:11" x14ac:dyDescent="0.25">
      <c r="A404" s="17" t="s">
        <v>241</v>
      </c>
      <c r="B404" s="17" t="s">
        <v>242</v>
      </c>
      <c r="C404" s="18" t="s">
        <v>244</v>
      </c>
      <c r="D404" s="16" t="s">
        <v>516</v>
      </c>
      <c r="E404" s="16">
        <v>3493</v>
      </c>
      <c r="F404" s="16" t="s">
        <v>515</v>
      </c>
      <c r="G404" s="16" t="s">
        <v>521</v>
      </c>
      <c r="H404" s="16" t="s">
        <v>522</v>
      </c>
      <c r="I404" s="16" t="s">
        <v>653</v>
      </c>
      <c r="J404" s="16" t="s">
        <v>249</v>
      </c>
      <c r="K404" s="21">
        <v>46290</v>
      </c>
    </row>
    <row r="405" ht="69" customHeight="1" spans="1:11" x14ac:dyDescent="0.25">
      <c r="A405" s="17" t="s">
        <v>241</v>
      </c>
      <c r="B405" s="17" t="s">
        <v>242</v>
      </c>
      <c r="C405" s="18" t="s">
        <v>244</v>
      </c>
      <c r="D405" s="16" t="s">
        <v>523</v>
      </c>
      <c r="E405" s="16">
        <v>414</v>
      </c>
      <c r="F405" s="16" t="s">
        <v>524</v>
      </c>
      <c r="G405" s="16" t="s">
        <v>521</v>
      </c>
      <c r="H405" s="16" t="s">
        <v>525</v>
      </c>
      <c r="I405" s="16" t="s">
        <v>653</v>
      </c>
      <c r="J405" s="16" t="s">
        <v>249</v>
      </c>
      <c r="K405" s="21">
        <v>46290</v>
      </c>
    </row>
    <row r="406" ht="69" customHeight="1" spans="1:11" x14ac:dyDescent="0.25">
      <c r="A406" s="17" t="s">
        <v>241</v>
      </c>
      <c r="B406" s="17" t="s">
        <v>242</v>
      </c>
      <c r="C406" s="18" t="s">
        <v>244</v>
      </c>
      <c r="D406" s="16" t="s">
        <v>276</v>
      </c>
      <c r="E406" s="16" t="s">
        <v>367</v>
      </c>
      <c r="F406" s="16"/>
      <c r="G406" s="16" t="s">
        <v>654</v>
      </c>
      <c r="H406" s="16"/>
      <c r="I406" s="16" t="s">
        <v>370</v>
      </c>
      <c r="J406" s="16" t="s">
        <v>248</v>
      </c>
      <c r="K406" s="21">
        <v>46290</v>
      </c>
    </row>
    <row r="407" ht="69" customHeight="1" spans="1:11" x14ac:dyDescent="0.25">
      <c r="A407" s="17" t="s">
        <v>241</v>
      </c>
      <c r="B407" s="17" t="s">
        <v>242</v>
      </c>
      <c r="C407" s="18" t="s">
        <v>244</v>
      </c>
      <c r="D407" s="16" t="s">
        <v>277</v>
      </c>
      <c r="E407" s="16" t="s">
        <v>368</v>
      </c>
      <c r="F407" s="16"/>
      <c r="G407" s="16" t="s">
        <v>528</v>
      </c>
      <c r="H407" s="16"/>
      <c r="I407" s="16" t="s">
        <v>370</v>
      </c>
      <c r="J407" s="16" t="s">
        <v>248</v>
      </c>
      <c r="K407" s="21">
        <v>46290</v>
      </c>
    </row>
    <row r="408" ht="69" customHeight="1" spans="1:11" x14ac:dyDescent="0.25">
      <c r="A408" s="17" t="s">
        <v>241</v>
      </c>
      <c r="B408" s="17" t="s">
        <v>242</v>
      </c>
      <c r="C408" s="18" t="s">
        <v>244</v>
      </c>
      <c r="D408" s="16" t="s">
        <v>278</v>
      </c>
      <c r="E408" s="16" t="s">
        <v>369</v>
      </c>
      <c r="F408" s="16"/>
      <c r="G408" s="16" t="s">
        <v>529</v>
      </c>
      <c r="H408" s="16"/>
      <c r="I408" s="16" t="s">
        <v>370</v>
      </c>
      <c r="J408" s="16" t="s">
        <v>248</v>
      </c>
      <c r="K408" s="21">
        <v>46290</v>
      </c>
    </row>
    <row r="409" ht="69" customHeight="1" spans="1:11" x14ac:dyDescent="0.25">
      <c r="A409" s="17" t="s">
        <v>241</v>
      </c>
      <c r="B409" s="17" t="s">
        <v>242</v>
      </c>
      <c r="C409" s="18" t="s">
        <v>244</v>
      </c>
      <c r="D409" s="16" t="s">
        <v>655</v>
      </c>
      <c r="E409" s="16">
        <v>127</v>
      </c>
      <c r="F409" s="16" t="s">
        <v>508</v>
      </c>
      <c r="G409" s="16" t="s">
        <v>656</v>
      </c>
      <c r="H409" s="16" t="s">
        <v>657</v>
      </c>
      <c r="I409" s="16" t="s">
        <v>658</v>
      </c>
      <c r="J409" s="16" t="s">
        <v>659</v>
      </c>
      <c r="K409" s="21">
        <v>46290</v>
      </c>
    </row>
    <row r="410" ht="69" customHeight="1" spans="1:11" x14ac:dyDescent="0.25">
      <c r="A410" s="17" t="s">
        <v>241</v>
      </c>
      <c r="B410" s="17" t="s">
        <v>242</v>
      </c>
      <c r="C410" s="18" t="s">
        <v>244</v>
      </c>
      <c r="D410" s="16" t="s">
        <v>660</v>
      </c>
      <c r="E410" s="16">
        <v>16</v>
      </c>
      <c r="F410" s="16" t="s">
        <v>508</v>
      </c>
      <c r="G410" s="16" t="s">
        <v>656</v>
      </c>
      <c r="H410" s="16" t="s">
        <v>661</v>
      </c>
      <c r="I410" s="16" t="s">
        <v>658</v>
      </c>
      <c r="J410" s="16" t="s">
        <v>659</v>
      </c>
      <c r="K410" s="21">
        <v>46290</v>
      </c>
    </row>
    <row r="411" ht="69" customHeight="1" spans="1:11" x14ac:dyDescent="0.25">
      <c r="A411" s="17" t="s">
        <v>250</v>
      </c>
      <c r="B411" s="17" t="s">
        <v>251</v>
      </c>
      <c r="C411" s="18" t="s">
        <v>253</v>
      </c>
      <c r="D411" s="16" t="s">
        <v>489</v>
      </c>
      <c r="E411" s="16" t="s">
        <v>250</v>
      </c>
      <c r="F411" s="16"/>
      <c r="G411" s="16" t="s">
        <v>490</v>
      </c>
      <c r="H411" s="16" t="s">
        <v>491</v>
      </c>
      <c r="I411" s="16" t="s">
        <v>473</v>
      </c>
      <c r="J411" s="16" t="s">
        <v>474</v>
      </c>
      <c r="K411" s="21">
        <v>46290</v>
      </c>
    </row>
    <row r="412" ht="69" customHeight="1" spans="1:11" x14ac:dyDescent="0.25">
      <c r="A412" s="17" t="s">
        <v>250</v>
      </c>
      <c r="B412" s="17" t="s">
        <v>251</v>
      </c>
      <c r="C412" s="18" t="s">
        <v>253</v>
      </c>
      <c r="D412" s="16" t="s">
        <v>492</v>
      </c>
      <c r="E412" s="16" t="s">
        <v>251</v>
      </c>
      <c r="F412" s="16"/>
      <c r="G412" s="16" t="s">
        <v>493</v>
      </c>
      <c r="H412" s="16" t="s">
        <v>494</v>
      </c>
      <c r="I412" s="16" t="s">
        <v>662</v>
      </c>
      <c r="J412" s="16" t="s">
        <v>258</v>
      </c>
      <c r="K412" s="21">
        <v>46290</v>
      </c>
    </row>
    <row r="413" ht="69" customHeight="1" spans="1:11" x14ac:dyDescent="0.25">
      <c r="A413" s="17" t="s">
        <v>250</v>
      </c>
      <c r="B413" s="17" t="s">
        <v>251</v>
      </c>
      <c r="C413" s="18" t="s">
        <v>253</v>
      </c>
      <c r="D413" s="16" t="s">
        <v>499</v>
      </c>
      <c r="E413" s="16">
        <v>2025</v>
      </c>
      <c r="F413" s="16" t="s">
        <v>500</v>
      </c>
      <c r="G413" s="16" t="s">
        <v>388</v>
      </c>
      <c r="H413" s="16" t="s">
        <v>501</v>
      </c>
      <c r="I413" s="16" t="s">
        <v>662</v>
      </c>
      <c r="J413" s="16" t="s">
        <v>258</v>
      </c>
      <c r="K413" s="21">
        <v>46290</v>
      </c>
    </row>
    <row r="414" ht="69" customHeight="1" spans="1:11" x14ac:dyDescent="0.25">
      <c r="A414" s="17" t="s">
        <v>250</v>
      </c>
      <c r="B414" s="17" t="s">
        <v>251</v>
      </c>
      <c r="C414" s="18" t="s">
        <v>253</v>
      </c>
      <c r="D414" s="16" t="s">
        <v>41</v>
      </c>
      <c r="E414" s="16" t="s">
        <v>253</v>
      </c>
      <c r="F414" s="16"/>
      <c r="G414" s="16" t="s">
        <v>502</v>
      </c>
      <c r="H414" s="16" t="s">
        <v>503</v>
      </c>
      <c r="I414" s="16" t="s">
        <v>663</v>
      </c>
      <c r="J414" s="16" t="s">
        <v>259</v>
      </c>
      <c r="K414" s="21">
        <v>46290</v>
      </c>
    </row>
    <row r="415" ht="69" customHeight="1" spans="1:11" x14ac:dyDescent="0.25">
      <c r="A415" s="17" t="s">
        <v>250</v>
      </c>
      <c r="B415" s="17" t="s">
        <v>251</v>
      </c>
      <c r="C415" s="18" t="s">
        <v>253</v>
      </c>
      <c r="D415" s="16" t="s">
        <v>42</v>
      </c>
      <c r="E415" s="16" t="s">
        <v>254</v>
      </c>
      <c r="F415" s="16"/>
      <c r="G415" s="16" t="s">
        <v>504</v>
      </c>
      <c r="H415" s="16" t="s">
        <v>66</v>
      </c>
      <c r="I415" s="16" t="s">
        <v>663</v>
      </c>
      <c r="J415" s="16" t="s">
        <v>259</v>
      </c>
      <c r="K415" s="21">
        <v>46290</v>
      </c>
    </row>
    <row r="416" ht="69" customHeight="1" spans="1:11" x14ac:dyDescent="0.25">
      <c r="A416" s="17" t="s">
        <v>250</v>
      </c>
      <c r="B416" s="17" t="s">
        <v>251</v>
      </c>
      <c r="C416" s="18" t="s">
        <v>253</v>
      </c>
      <c r="D416" s="16" t="s">
        <v>43</v>
      </c>
      <c r="E416" s="16" t="s">
        <v>255</v>
      </c>
      <c r="F416" s="16"/>
      <c r="G416" s="16" t="s">
        <v>504</v>
      </c>
      <c r="H416" s="16" t="s">
        <v>66</v>
      </c>
      <c r="I416" s="16" t="s">
        <v>663</v>
      </c>
      <c r="J416" s="16" t="s">
        <v>259</v>
      </c>
      <c r="K416" s="21">
        <v>46290</v>
      </c>
    </row>
    <row r="417" ht="69" customHeight="1" spans="1:11" x14ac:dyDescent="0.25">
      <c r="A417" s="17" t="s">
        <v>250</v>
      </c>
      <c r="B417" s="17" t="s">
        <v>251</v>
      </c>
      <c r="C417" s="18" t="s">
        <v>253</v>
      </c>
      <c r="D417" s="16" t="s">
        <v>505</v>
      </c>
      <c r="E417" s="16" t="s">
        <v>104</v>
      </c>
      <c r="F417" s="16"/>
      <c r="G417" s="16" t="s">
        <v>506</v>
      </c>
      <c r="H417" s="16" t="s">
        <v>66</v>
      </c>
      <c r="I417" s="16" t="s">
        <v>663</v>
      </c>
      <c r="J417" s="16" t="s">
        <v>259</v>
      </c>
      <c r="K417" s="21">
        <v>46290</v>
      </c>
    </row>
    <row r="418" ht="69" customHeight="1" spans="1:11" x14ac:dyDescent="0.25">
      <c r="A418" s="17" t="s">
        <v>250</v>
      </c>
      <c r="B418" s="17" t="s">
        <v>251</v>
      </c>
      <c r="C418" s="18" t="s">
        <v>253</v>
      </c>
      <c r="D418" s="16" t="s">
        <v>507</v>
      </c>
      <c r="E418" s="16">
        <v>111</v>
      </c>
      <c r="F418" s="16" t="s">
        <v>508</v>
      </c>
      <c r="G418" s="16" t="s">
        <v>509</v>
      </c>
      <c r="H418" s="16" t="s">
        <v>510</v>
      </c>
      <c r="I418" s="16" t="s">
        <v>662</v>
      </c>
      <c r="J418" s="16" t="s">
        <v>258</v>
      </c>
      <c r="K418" s="21">
        <v>46290</v>
      </c>
    </row>
    <row r="419" ht="69" customHeight="1" spans="1:11" x14ac:dyDescent="0.25">
      <c r="A419" s="17" t="s">
        <v>250</v>
      </c>
      <c r="B419" s="17" t="s">
        <v>251</v>
      </c>
      <c r="C419" s="18" t="s">
        <v>253</v>
      </c>
      <c r="D419" s="16" t="s">
        <v>511</v>
      </c>
      <c r="E419" s="16">
        <v>17.8</v>
      </c>
      <c r="F419" s="16" t="s">
        <v>508</v>
      </c>
      <c r="G419" s="16" t="s">
        <v>512</v>
      </c>
      <c r="H419" s="16" t="s">
        <v>513</v>
      </c>
      <c r="I419" s="16" t="s">
        <v>662</v>
      </c>
      <c r="J419" s="16" t="s">
        <v>258</v>
      </c>
      <c r="K419" s="21">
        <v>46290</v>
      </c>
    </row>
    <row r="420" ht="69" customHeight="1" spans="1:11" x14ac:dyDescent="0.25">
      <c r="A420" s="17" t="s">
        <v>250</v>
      </c>
      <c r="B420" s="17" t="s">
        <v>251</v>
      </c>
      <c r="C420" s="18" t="s">
        <v>253</v>
      </c>
      <c r="D420" s="16" t="s">
        <v>514</v>
      </c>
      <c r="E420" s="16">
        <v>4970</v>
      </c>
      <c r="F420" s="16" t="s">
        <v>515</v>
      </c>
      <c r="G420" s="16" t="s">
        <v>664</v>
      </c>
      <c r="H420" s="16" t="s">
        <v>517</v>
      </c>
      <c r="I420" s="16" t="s">
        <v>662</v>
      </c>
      <c r="J420" s="16" t="s">
        <v>258</v>
      </c>
      <c r="K420" s="21">
        <v>46290</v>
      </c>
    </row>
    <row r="421" ht="69" customHeight="1" spans="1:11" x14ac:dyDescent="0.25">
      <c r="A421" s="17" t="s">
        <v>250</v>
      </c>
      <c r="B421" s="17" t="s">
        <v>251</v>
      </c>
      <c r="C421" s="18" t="s">
        <v>253</v>
      </c>
      <c r="D421" s="16" t="s">
        <v>518</v>
      </c>
      <c r="E421" s="16">
        <v>110</v>
      </c>
      <c r="F421" s="16" t="s">
        <v>508</v>
      </c>
      <c r="G421" s="16" t="s">
        <v>519</v>
      </c>
      <c r="H421" s="16" t="s">
        <v>257</v>
      </c>
      <c r="I421" s="16" t="s">
        <v>663</v>
      </c>
      <c r="J421" s="16" t="s">
        <v>259</v>
      </c>
      <c r="K421" s="21">
        <v>46290</v>
      </c>
    </row>
    <row r="422" ht="69" customHeight="1" spans="1:11" x14ac:dyDescent="0.25">
      <c r="A422" s="17" t="s">
        <v>250</v>
      </c>
      <c r="B422" s="17" t="s">
        <v>251</v>
      </c>
      <c r="C422" s="18" t="s">
        <v>253</v>
      </c>
      <c r="D422" s="16" t="s">
        <v>520</v>
      </c>
      <c r="E422" s="16">
        <v>15</v>
      </c>
      <c r="F422" s="16" t="s">
        <v>508</v>
      </c>
      <c r="G422" s="16" t="s">
        <v>519</v>
      </c>
      <c r="H422" s="16" t="s">
        <v>257</v>
      </c>
      <c r="I422" s="16" t="s">
        <v>663</v>
      </c>
      <c r="J422" s="16" t="s">
        <v>259</v>
      </c>
      <c r="K422" s="21">
        <v>46290</v>
      </c>
    </row>
    <row r="423" ht="69" customHeight="1" spans="1:11" x14ac:dyDescent="0.25">
      <c r="A423" s="17" t="s">
        <v>250</v>
      </c>
      <c r="B423" s="17" t="s">
        <v>251</v>
      </c>
      <c r="C423" s="18" t="s">
        <v>253</v>
      </c>
      <c r="D423" s="16" t="s">
        <v>516</v>
      </c>
      <c r="E423" s="16">
        <v>4970</v>
      </c>
      <c r="F423" s="16" t="s">
        <v>515</v>
      </c>
      <c r="G423" s="16" t="s">
        <v>521</v>
      </c>
      <c r="H423" s="16" t="s">
        <v>522</v>
      </c>
      <c r="I423" s="16" t="s">
        <v>663</v>
      </c>
      <c r="J423" s="16" t="s">
        <v>259</v>
      </c>
      <c r="K423" s="21">
        <v>46290</v>
      </c>
    </row>
    <row r="424" ht="69" customHeight="1" spans="1:11" x14ac:dyDescent="0.25">
      <c r="A424" s="17" t="s">
        <v>250</v>
      </c>
      <c r="B424" s="17" t="s">
        <v>251</v>
      </c>
      <c r="C424" s="18" t="s">
        <v>253</v>
      </c>
      <c r="D424" s="16" t="s">
        <v>602</v>
      </c>
      <c r="E424" s="16">
        <v>2025</v>
      </c>
      <c r="F424" s="16" t="s">
        <v>500</v>
      </c>
      <c r="G424" s="16" t="s">
        <v>603</v>
      </c>
      <c r="H424" s="16" t="s">
        <v>604</v>
      </c>
      <c r="I424" s="16" t="s">
        <v>663</v>
      </c>
      <c r="J424" s="16" t="s">
        <v>259</v>
      </c>
      <c r="K424" s="21">
        <v>46290</v>
      </c>
    </row>
    <row r="425" ht="69" customHeight="1" spans="1:11" x14ac:dyDescent="0.25">
      <c r="A425" s="17" t="s">
        <v>250</v>
      </c>
      <c r="B425" s="17" t="s">
        <v>251</v>
      </c>
      <c r="C425" s="18" t="s">
        <v>253</v>
      </c>
      <c r="D425" s="16" t="s">
        <v>276</v>
      </c>
      <c r="E425" s="16" t="s">
        <v>355</v>
      </c>
      <c r="F425" s="16"/>
      <c r="G425" s="16" t="s">
        <v>606</v>
      </c>
      <c r="H425" s="16"/>
      <c r="I425" s="16" t="s">
        <v>473</v>
      </c>
      <c r="J425" s="16" t="s">
        <v>474</v>
      </c>
      <c r="K425" s="21">
        <v>46290</v>
      </c>
    </row>
    <row r="426" ht="69" customHeight="1" spans="1:11" x14ac:dyDescent="0.25">
      <c r="A426" s="17" t="s">
        <v>250</v>
      </c>
      <c r="B426" s="17" t="s">
        <v>251</v>
      </c>
      <c r="C426" s="18" t="s">
        <v>253</v>
      </c>
      <c r="D426" s="16" t="s">
        <v>277</v>
      </c>
      <c r="E426" s="16" t="s">
        <v>371</v>
      </c>
      <c r="F426" s="16"/>
      <c r="G426" s="16" t="s">
        <v>528</v>
      </c>
      <c r="H426" s="16"/>
      <c r="I426" s="16" t="s">
        <v>662</v>
      </c>
      <c r="J426" s="16" t="s">
        <v>258</v>
      </c>
      <c r="K426" s="21">
        <v>46290</v>
      </c>
    </row>
    <row r="427" ht="69" customHeight="1" spans="1:11" x14ac:dyDescent="0.25">
      <c r="A427" s="17" t="s">
        <v>250</v>
      </c>
      <c r="B427" s="17" t="s">
        <v>251</v>
      </c>
      <c r="C427" s="18" t="s">
        <v>253</v>
      </c>
      <c r="D427" s="16" t="s">
        <v>278</v>
      </c>
      <c r="E427" s="16" t="s">
        <v>372</v>
      </c>
      <c r="F427" s="16"/>
      <c r="G427" s="16" t="s">
        <v>529</v>
      </c>
      <c r="H427" s="16"/>
      <c r="I427" s="16" t="s">
        <v>662</v>
      </c>
      <c r="J427" s="16" t="s">
        <v>258</v>
      </c>
      <c r="K427" s="21">
        <v>46290</v>
      </c>
    </row>
    <row r="428" ht="69" customHeight="1" spans="1:11" x14ac:dyDescent="0.25">
      <c r="A428" s="17" t="s">
        <v>250</v>
      </c>
      <c r="B428" s="17" t="s">
        <v>251</v>
      </c>
      <c r="C428" s="18" t="s">
        <v>253</v>
      </c>
      <c r="D428" s="16" t="s">
        <v>610</v>
      </c>
      <c r="E428" s="16" t="s">
        <v>373</v>
      </c>
      <c r="F428" s="16"/>
      <c r="G428" s="16" t="s">
        <v>527</v>
      </c>
      <c r="H428" s="16"/>
      <c r="I428" s="16" t="s">
        <v>473</v>
      </c>
      <c r="J428" s="16" t="s">
        <v>474</v>
      </c>
      <c r="K428" s="21">
        <v>46290</v>
      </c>
    </row>
    <row r="429" ht="69" customHeight="1" spans="1:11" x14ac:dyDescent="0.25">
      <c r="A429" s="17" t="s">
        <v>250</v>
      </c>
      <c r="B429" s="17" t="s">
        <v>251</v>
      </c>
      <c r="C429" s="18" t="s">
        <v>253</v>
      </c>
      <c r="D429" s="16" t="s">
        <v>540</v>
      </c>
      <c r="E429" s="16" t="s">
        <v>374</v>
      </c>
      <c r="F429" s="16"/>
      <c r="G429" s="16" t="s">
        <v>527</v>
      </c>
      <c r="H429" s="16"/>
      <c r="I429" s="16" t="s">
        <v>662</v>
      </c>
      <c r="J429" s="16" t="s">
        <v>258</v>
      </c>
      <c r="K429" s="21">
        <v>46290</v>
      </c>
    </row>
    <row r="430" ht="69" customHeight="1" spans="1:11" x14ac:dyDescent="0.25">
      <c r="A430" s="17" t="s">
        <v>260</v>
      </c>
      <c r="B430" s="17" t="s">
        <v>261</v>
      </c>
      <c r="C430" s="18" t="s">
        <v>263</v>
      </c>
      <c r="D430" s="16" t="s">
        <v>489</v>
      </c>
      <c r="E430" s="16" t="s">
        <v>260</v>
      </c>
      <c r="F430" s="16"/>
      <c r="G430" s="16" t="s">
        <v>490</v>
      </c>
      <c r="H430" s="16" t="s">
        <v>491</v>
      </c>
      <c r="I430" s="16" t="s">
        <v>478</v>
      </c>
      <c r="J430" s="16" t="s">
        <v>479</v>
      </c>
      <c r="K430" s="21">
        <v>46290</v>
      </c>
    </row>
    <row r="431" ht="69" customHeight="1" spans="1:11" x14ac:dyDescent="0.25">
      <c r="A431" s="17" t="s">
        <v>260</v>
      </c>
      <c r="B431" s="17" t="s">
        <v>261</v>
      </c>
      <c r="C431" s="18" t="s">
        <v>263</v>
      </c>
      <c r="D431" s="16" t="s">
        <v>492</v>
      </c>
      <c r="E431" s="16" t="s">
        <v>261</v>
      </c>
      <c r="F431" s="16"/>
      <c r="G431" s="16" t="s">
        <v>493</v>
      </c>
      <c r="H431" s="16" t="s">
        <v>494</v>
      </c>
      <c r="I431" s="16" t="s">
        <v>665</v>
      </c>
      <c r="J431" s="16" t="s">
        <v>268</v>
      </c>
      <c r="K431" s="21">
        <v>46290</v>
      </c>
    </row>
    <row r="432" ht="69" customHeight="1" spans="1:11" x14ac:dyDescent="0.25">
      <c r="A432" s="17" t="s">
        <v>260</v>
      </c>
      <c r="B432" s="17" t="s">
        <v>261</v>
      </c>
      <c r="C432" s="18" t="s">
        <v>263</v>
      </c>
      <c r="D432" s="16" t="s">
        <v>38</v>
      </c>
      <c r="E432" s="16" t="s">
        <v>262</v>
      </c>
      <c r="F432" s="16"/>
      <c r="G432" s="16" t="s">
        <v>496</v>
      </c>
      <c r="H432" s="16" t="s">
        <v>497</v>
      </c>
      <c r="I432" s="16" t="s">
        <v>666</v>
      </c>
      <c r="J432" s="16" t="s">
        <v>269</v>
      </c>
      <c r="K432" s="21">
        <v>46290</v>
      </c>
    </row>
    <row r="433" ht="69" customHeight="1" spans="1:11" x14ac:dyDescent="0.25">
      <c r="A433" s="17" t="s">
        <v>260</v>
      </c>
      <c r="B433" s="17" t="s">
        <v>261</v>
      </c>
      <c r="C433" s="18" t="s">
        <v>263</v>
      </c>
      <c r="D433" s="16" t="s">
        <v>499</v>
      </c>
      <c r="E433" s="16">
        <v>2025</v>
      </c>
      <c r="F433" s="16" t="s">
        <v>500</v>
      </c>
      <c r="G433" s="16" t="s">
        <v>388</v>
      </c>
      <c r="H433" s="16" t="s">
        <v>501</v>
      </c>
      <c r="I433" s="16" t="s">
        <v>665</v>
      </c>
      <c r="J433" s="16" t="s">
        <v>268</v>
      </c>
      <c r="K433" s="21">
        <v>46290</v>
      </c>
    </row>
    <row r="434" ht="69" customHeight="1" spans="1:11" x14ac:dyDescent="0.25">
      <c r="A434" s="17" t="s">
        <v>260</v>
      </c>
      <c r="B434" s="17" t="s">
        <v>261</v>
      </c>
      <c r="C434" s="18" t="s">
        <v>263</v>
      </c>
      <c r="D434" s="16" t="s">
        <v>41</v>
      </c>
      <c r="E434" s="16" t="s">
        <v>263</v>
      </c>
      <c r="F434" s="16"/>
      <c r="G434" s="16" t="s">
        <v>502</v>
      </c>
      <c r="H434" s="16" t="s">
        <v>503</v>
      </c>
      <c r="I434" s="16" t="s">
        <v>666</v>
      </c>
      <c r="J434" s="16" t="s">
        <v>269</v>
      </c>
      <c r="K434" s="21">
        <v>46290</v>
      </c>
    </row>
    <row r="435" ht="69" customHeight="1" spans="1:11" x14ac:dyDescent="0.25">
      <c r="A435" s="17" t="s">
        <v>260</v>
      </c>
      <c r="B435" s="17" t="s">
        <v>261</v>
      </c>
      <c r="C435" s="18" t="s">
        <v>263</v>
      </c>
      <c r="D435" s="16" t="s">
        <v>42</v>
      </c>
      <c r="E435" s="16" t="s">
        <v>264</v>
      </c>
      <c r="F435" s="16"/>
      <c r="G435" s="16" t="s">
        <v>504</v>
      </c>
      <c r="H435" s="16" t="s">
        <v>66</v>
      </c>
      <c r="I435" s="16" t="s">
        <v>666</v>
      </c>
      <c r="J435" s="16" t="s">
        <v>269</v>
      </c>
      <c r="K435" s="21">
        <v>46290</v>
      </c>
    </row>
    <row r="436" ht="69" customHeight="1" spans="1:11" x14ac:dyDescent="0.25">
      <c r="A436" s="17" t="s">
        <v>260</v>
      </c>
      <c r="B436" s="17" t="s">
        <v>261</v>
      </c>
      <c r="C436" s="18" t="s">
        <v>263</v>
      </c>
      <c r="D436" s="16" t="s">
        <v>43</v>
      </c>
      <c r="E436" s="16" t="s">
        <v>265</v>
      </c>
      <c r="F436" s="16"/>
      <c r="G436" s="16" t="s">
        <v>504</v>
      </c>
      <c r="H436" s="16" t="s">
        <v>66</v>
      </c>
      <c r="I436" s="16" t="s">
        <v>666</v>
      </c>
      <c r="J436" s="16" t="s">
        <v>269</v>
      </c>
      <c r="K436" s="21">
        <v>46290</v>
      </c>
    </row>
    <row r="437" ht="69" customHeight="1" spans="1:11" x14ac:dyDescent="0.25">
      <c r="A437" s="17" t="s">
        <v>260</v>
      </c>
      <c r="B437" s="17" t="s">
        <v>261</v>
      </c>
      <c r="C437" s="18" t="s">
        <v>263</v>
      </c>
      <c r="D437" s="16" t="s">
        <v>505</v>
      </c>
      <c r="E437" s="16" t="s">
        <v>104</v>
      </c>
      <c r="F437" s="16"/>
      <c r="G437" s="16" t="s">
        <v>506</v>
      </c>
      <c r="H437" s="16" t="s">
        <v>66</v>
      </c>
      <c r="I437" s="16" t="s">
        <v>666</v>
      </c>
      <c r="J437" s="16" t="s">
        <v>269</v>
      </c>
      <c r="K437" s="21">
        <v>46290</v>
      </c>
    </row>
    <row r="438" ht="69" customHeight="1" spans="1:11" x14ac:dyDescent="0.25">
      <c r="A438" s="17" t="s">
        <v>260</v>
      </c>
      <c r="B438" s="17" t="s">
        <v>261</v>
      </c>
      <c r="C438" s="18" t="s">
        <v>263</v>
      </c>
      <c r="D438" s="16" t="s">
        <v>507</v>
      </c>
      <c r="E438" s="16">
        <v>111</v>
      </c>
      <c r="F438" s="16" t="s">
        <v>508</v>
      </c>
      <c r="G438" s="16" t="s">
        <v>509</v>
      </c>
      <c r="H438" s="16" t="s">
        <v>510</v>
      </c>
      <c r="I438" s="16" t="s">
        <v>665</v>
      </c>
      <c r="J438" s="16" t="s">
        <v>268</v>
      </c>
      <c r="K438" s="21">
        <v>46290</v>
      </c>
    </row>
    <row r="439" ht="69" customHeight="1" spans="1:11" x14ac:dyDescent="0.25">
      <c r="A439" s="17" t="s">
        <v>260</v>
      </c>
      <c r="B439" s="17" t="s">
        <v>261</v>
      </c>
      <c r="C439" s="18" t="s">
        <v>263</v>
      </c>
      <c r="D439" s="16" t="s">
        <v>511</v>
      </c>
      <c r="E439" s="16">
        <v>16</v>
      </c>
      <c r="F439" s="16" t="s">
        <v>508</v>
      </c>
      <c r="G439" s="16" t="s">
        <v>512</v>
      </c>
      <c r="H439" s="16" t="s">
        <v>513</v>
      </c>
      <c r="I439" s="16" t="s">
        <v>665</v>
      </c>
      <c r="J439" s="16" t="s">
        <v>268</v>
      </c>
      <c r="K439" s="21">
        <v>46290</v>
      </c>
    </row>
    <row r="440" ht="69" customHeight="1" spans="1:11" x14ac:dyDescent="0.25">
      <c r="A440" s="17" t="s">
        <v>260</v>
      </c>
      <c r="B440" s="17" t="s">
        <v>261</v>
      </c>
      <c r="C440" s="18" t="s">
        <v>263</v>
      </c>
      <c r="D440" s="16" t="s">
        <v>514</v>
      </c>
      <c r="E440" s="16">
        <v>4550</v>
      </c>
      <c r="F440" s="16" t="s">
        <v>515</v>
      </c>
      <c r="G440" s="16" t="s">
        <v>664</v>
      </c>
      <c r="H440" s="16" t="s">
        <v>267</v>
      </c>
      <c r="I440" s="16" t="s">
        <v>665</v>
      </c>
      <c r="J440" s="16" t="s">
        <v>268</v>
      </c>
      <c r="K440" s="21">
        <v>46290</v>
      </c>
    </row>
    <row r="441" ht="69" customHeight="1" spans="1:11" x14ac:dyDescent="0.25">
      <c r="A441" s="17" t="s">
        <v>260</v>
      </c>
      <c r="B441" s="17" t="s">
        <v>261</v>
      </c>
      <c r="C441" s="18" t="s">
        <v>263</v>
      </c>
      <c r="D441" s="16" t="s">
        <v>518</v>
      </c>
      <c r="E441" s="16">
        <v>110</v>
      </c>
      <c r="F441" s="16" t="s">
        <v>508</v>
      </c>
      <c r="G441" s="16" t="s">
        <v>519</v>
      </c>
      <c r="H441" s="16" t="s">
        <v>267</v>
      </c>
      <c r="I441" s="16" t="s">
        <v>666</v>
      </c>
      <c r="J441" s="16" t="s">
        <v>269</v>
      </c>
      <c r="K441" s="21">
        <v>46290</v>
      </c>
    </row>
    <row r="442" ht="69" customHeight="1" spans="1:11" x14ac:dyDescent="0.25">
      <c r="A442" s="17" t="s">
        <v>260</v>
      </c>
      <c r="B442" s="17" t="s">
        <v>261</v>
      </c>
      <c r="C442" s="18" t="s">
        <v>263</v>
      </c>
      <c r="D442" s="16" t="s">
        <v>520</v>
      </c>
      <c r="E442" s="16">
        <v>16</v>
      </c>
      <c r="F442" s="16" t="s">
        <v>508</v>
      </c>
      <c r="G442" s="16" t="s">
        <v>519</v>
      </c>
      <c r="H442" s="16" t="s">
        <v>267</v>
      </c>
      <c r="I442" s="16" t="s">
        <v>666</v>
      </c>
      <c r="J442" s="16" t="s">
        <v>269</v>
      </c>
      <c r="K442" s="21">
        <v>46290</v>
      </c>
    </row>
    <row r="443" ht="69" customHeight="1" spans="1:11" x14ac:dyDescent="0.25">
      <c r="A443" s="17" t="s">
        <v>260</v>
      </c>
      <c r="B443" s="17" t="s">
        <v>261</v>
      </c>
      <c r="C443" s="18" t="s">
        <v>263</v>
      </c>
      <c r="D443" s="16" t="s">
        <v>516</v>
      </c>
      <c r="E443" s="16">
        <v>4525</v>
      </c>
      <c r="F443" s="16" t="s">
        <v>515</v>
      </c>
      <c r="G443" s="16" t="s">
        <v>521</v>
      </c>
      <c r="H443" s="16" t="s">
        <v>522</v>
      </c>
      <c r="I443" s="16" t="s">
        <v>666</v>
      </c>
      <c r="J443" s="16" t="s">
        <v>269</v>
      </c>
      <c r="K443" s="21">
        <v>46290</v>
      </c>
    </row>
    <row r="444" ht="69" customHeight="1" spans="1:11" x14ac:dyDescent="0.25">
      <c r="A444" s="17" t="s">
        <v>260</v>
      </c>
      <c r="B444" s="17" t="s">
        <v>261</v>
      </c>
      <c r="C444" s="18" t="s">
        <v>263</v>
      </c>
      <c r="D444" s="16" t="s">
        <v>602</v>
      </c>
      <c r="E444" s="16">
        <v>2025</v>
      </c>
      <c r="F444" s="16" t="s">
        <v>500</v>
      </c>
      <c r="G444" s="16" t="s">
        <v>603</v>
      </c>
      <c r="H444" s="16" t="s">
        <v>604</v>
      </c>
      <c r="I444" s="16" t="s">
        <v>666</v>
      </c>
      <c r="J444" s="16" t="s">
        <v>269</v>
      </c>
      <c r="K444" s="21">
        <v>46290</v>
      </c>
    </row>
    <row r="445" ht="69" customHeight="1" spans="1:11" x14ac:dyDescent="0.25">
      <c r="A445" s="17" t="s">
        <v>260</v>
      </c>
      <c r="B445" s="17" t="s">
        <v>261</v>
      </c>
      <c r="C445" s="18" t="s">
        <v>263</v>
      </c>
      <c r="D445" s="16" t="s">
        <v>276</v>
      </c>
      <c r="E445" s="16" t="s">
        <v>355</v>
      </c>
      <c r="F445" s="16"/>
      <c r="G445" s="16" t="s">
        <v>606</v>
      </c>
      <c r="H445" s="16"/>
      <c r="I445" s="16" t="s">
        <v>478</v>
      </c>
      <c r="J445" s="16" t="s">
        <v>479</v>
      </c>
      <c r="K445" s="21">
        <v>46290</v>
      </c>
    </row>
    <row r="446" ht="69" customHeight="1" spans="1:11" x14ac:dyDescent="0.25">
      <c r="A446" s="17" t="s">
        <v>260</v>
      </c>
      <c r="B446" s="17" t="s">
        <v>261</v>
      </c>
      <c r="C446" s="18" t="s">
        <v>263</v>
      </c>
      <c r="D446" s="16" t="s">
        <v>277</v>
      </c>
      <c r="E446" s="16" t="s">
        <v>330</v>
      </c>
      <c r="F446" s="16"/>
      <c r="G446" s="16" t="s">
        <v>528</v>
      </c>
      <c r="H446" s="16"/>
      <c r="I446" s="16" t="s">
        <v>665</v>
      </c>
      <c r="J446" s="16" t="s">
        <v>268</v>
      </c>
      <c r="K446" s="21">
        <v>46290</v>
      </c>
    </row>
    <row r="447" ht="69" customHeight="1" spans="1:11" x14ac:dyDescent="0.25">
      <c r="A447" s="17" t="s">
        <v>260</v>
      </c>
      <c r="B447" s="17" t="s">
        <v>261</v>
      </c>
      <c r="C447" s="18" t="s">
        <v>263</v>
      </c>
      <c r="D447" s="16" t="s">
        <v>278</v>
      </c>
      <c r="E447" s="16" t="s">
        <v>372</v>
      </c>
      <c r="F447" s="16"/>
      <c r="G447" s="16" t="s">
        <v>529</v>
      </c>
      <c r="H447" s="16"/>
      <c r="I447" s="16" t="s">
        <v>665</v>
      </c>
      <c r="J447" s="16" t="s">
        <v>268</v>
      </c>
      <c r="K447" s="21">
        <v>46290</v>
      </c>
    </row>
    <row r="448" ht="69" customHeight="1" spans="1:11" x14ac:dyDescent="0.25">
      <c r="A448" s="17" t="s">
        <v>260</v>
      </c>
      <c r="B448" s="17" t="s">
        <v>261</v>
      </c>
      <c r="C448" s="18" t="s">
        <v>263</v>
      </c>
      <c r="D448" s="16" t="s">
        <v>610</v>
      </c>
      <c r="E448" s="16" t="s">
        <v>377</v>
      </c>
      <c r="F448" s="16"/>
      <c r="G448" s="16" t="s">
        <v>527</v>
      </c>
      <c r="H448" s="16"/>
      <c r="I448" s="16" t="s">
        <v>665</v>
      </c>
      <c r="J448" s="16" t="s">
        <v>268</v>
      </c>
      <c r="K448" s="21">
        <v>46290</v>
      </c>
    </row>
    <row r="449" ht="69" customHeight="1" spans="1:11" x14ac:dyDescent="0.25">
      <c r="A449" s="17" t="s">
        <v>138</v>
      </c>
      <c r="B449" s="17" t="s">
        <v>139</v>
      </c>
      <c r="C449" s="18" t="s">
        <v>142</v>
      </c>
      <c r="D449" s="16" t="s">
        <v>598</v>
      </c>
      <c r="E449" s="16">
        <v>2951</v>
      </c>
      <c r="F449" s="16" t="s">
        <v>515</v>
      </c>
      <c r="G449" s="16" t="s">
        <v>667</v>
      </c>
      <c r="H449" s="16" t="s">
        <v>668</v>
      </c>
      <c r="I449" s="16" t="s">
        <v>583</v>
      </c>
      <c r="J449" s="16" t="s">
        <v>584</v>
      </c>
      <c r="K449" s="21">
        <v>46290</v>
      </c>
    </row>
    <row r="450" ht="69" customHeight="1" spans="1:11" x14ac:dyDescent="0.25">
      <c r="A450" s="17" t="s">
        <v>171</v>
      </c>
      <c r="B450" s="17" t="s">
        <v>172</v>
      </c>
      <c r="C450" s="18" t="s">
        <v>174</v>
      </c>
      <c r="D450" s="16" t="s">
        <v>276</v>
      </c>
      <c r="E450" s="16" t="s">
        <v>669</v>
      </c>
      <c r="F450" s="16"/>
      <c r="G450" s="16" t="s">
        <v>670</v>
      </c>
      <c r="H450" s="16" t="s">
        <v>671</v>
      </c>
      <c r="I450" s="16" t="s">
        <v>600</v>
      </c>
      <c r="J450" s="16" t="s">
        <v>178</v>
      </c>
      <c r="K450" s="21">
        <v>46290</v>
      </c>
    </row>
    <row r="451" ht="69" customHeight="1" spans="1:11" x14ac:dyDescent="0.25">
      <c r="A451" s="17" t="s">
        <v>171</v>
      </c>
      <c r="B451" s="17" t="s">
        <v>172</v>
      </c>
      <c r="C451" s="18" t="s">
        <v>174</v>
      </c>
      <c r="D451" s="16" t="s">
        <v>276</v>
      </c>
      <c r="E451" s="16" t="s">
        <v>368</v>
      </c>
      <c r="F451" s="16"/>
      <c r="G451" s="16" t="s">
        <v>606</v>
      </c>
      <c r="H451" s="16" t="s">
        <v>672</v>
      </c>
      <c r="I451" s="16" t="s">
        <v>673</v>
      </c>
      <c r="J451" s="16" t="s">
        <v>674</v>
      </c>
      <c r="K451" s="21">
        <v>46290</v>
      </c>
    </row>
    <row r="452" ht="69" customHeight="1" spans="1:11" x14ac:dyDescent="0.25">
      <c r="A452" s="17" t="s">
        <v>171</v>
      </c>
      <c r="B452" s="17" t="s">
        <v>172</v>
      </c>
      <c r="C452" s="18" t="s">
        <v>174</v>
      </c>
      <c r="D452" s="16" t="s">
        <v>278</v>
      </c>
      <c r="E452" s="16" t="s">
        <v>340</v>
      </c>
      <c r="F452" s="16"/>
      <c r="G452" s="16" t="s">
        <v>670</v>
      </c>
      <c r="H452" s="16" t="s">
        <v>675</v>
      </c>
      <c r="I452" s="16" t="s">
        <v>600</v>
      </c>
      <c r="J452" s="16" t="s">
        <v>178</v>
      </c>
      <c r="K452" s="21">
        <v>46290</v>
      </c>
    </row>
    <row r="453" ht="69" customHeight="1" spans="1:11" x14ac:dyDescent="0.25">
      <c r="A453" s="17" t="s">
        <v>198</v>
      </c>
      <c r="B453" s="17" t="s">
        <v>199</v>
      </c>
      <c r="C453" s="18" t="s">
        <v>201</v>
      </c>
      <c r="D453" s="16" t="s">
        <v>38</v>
      </c>
      <c r="E453" s="16" t="s">
        <v>200</v>
      </c>
      <c r="F453" s="16"/>
      <c r="G453" s="16" t="s">
        <v>496</v>
      </c>
      <c r="H453" s="16" t="s">
        <v>676</v>
      </c>
      <c r="I453" s="16" t="s">
        <v>677</v>
      </c>
      <c r="J453" s="16" t="s">
        <v>678</v>
      </c>
      <c r="K453" s="21">
        <v>46290</v>
      </c>
    </row>
    <row r="454" ht="69" customHeight="1" spans="1:11" x14ac:dyDescent="0.25">
      <c r="A454" s="17" t="s">
        <v>198</v>
      </c>
      <c r="B454" s="17" t="s">
        <v>199</v>
      </c>
      <c r="C454" s="18" t="s">
        <v>201</v>
      </c>
      <c r="D454" s="16" t="s">
        <v>38</v>
      </c>
      <c r="E454" s="16" t="s">
        <v>679</v>
      </c>
      <c r="F454" s="16"/>
      <c r="G454" s="16" t="s">
        <v>680</v>
      </c>
      <c r="H454" s="16" t="s">
        <v>681</v>
      </c>
      <c r="I454" s="16" t="s">
        <v>682</v>
      </c>
      <c r="J454" s="16" t="s">
        <v>683</v>
      </c>
      <c r="K454" s="21">
        <v>46290</v>
      </c>
    </row>
    <row r="455" ht="69" customHeight="1" spans="1:11" x14ac:dyDescent="0.25">
      <c r="A455" s="17" t="s">
        <v>180</v>
      </c>
      <c r="B455" s="17" t="s">
        <v>181</v>
      </c>
      <c r="C455" s="18" t="s">
        <v>183</v>
      </c>
      <c r="D455" s="16" t="s">
        <v>539</v>
      </c>
      <c r="E455" s="16">
        <v>2020</v>
      </c>
      <c r="F455" s="16" t="s">
        <v>500</v>
      </c>
      <c r="G455" s="16" t="s">
        <v>684</v>
      </c>
      <c r="H455" s="16" t="s">
        <v>685</v>
      </c>
      <c r="I455" s="16" t="s">
        <v>686</v>
      </c>
      <c r="J455" s="16" t="s">
        <v>687</v>
      </c>
      <c r="K455" s="21">
        <v>46290</v>
      </c>
    </row>
    <row r="456" ht="69" customHeight="1" spans="1:11" x14ac:dyDescent="0.25">
      <c r="A456" s="17" t="s">
        <v>180</v>
      </c>
      <c r="B456" s="17" t="s">
        <v>181</v>
      </c>
      <c r="C456" s="18" t="s">
        <v>183</v>
      </c>
      <c r="D456" s="16" t="s">
        <v>278</v>
      </c>
      <c r="E456" s="16" t="s">
        <v>688</v>
      </c>
      <c r="F456" s="16"/>
      <c r="G456" s="16" t="s">
        <v>684</v>
      </c>
      <c r="H456" s="16" t="s">
        <v>689</v>
      </c>
      <c r="I456" s="16" t="s">
        <v>686</v>
      </c>
      <c r="J456" s="16" t="s">
        <v>687</v>
      </c>
      <c r="K456" s="21">
        <v>46290</v>
      </c>
    </row>
    <row r="457" ht="69" customHeight="1" spans="1:11" x14ac:dyDescent="0.25">
      <c r="A457" s="17" t="s">
        <v>180</v>
      </c>
      <c r="B457" s="17" t="s">
        <v>181</v>
      </c>
      <c r="C457" s="18" t="s">
        <v>183</v>
      </c>
      <c r="D457" s="16" t="s">
        <v>42</v>
      </c>
      <c r="E457" s="16" t="s">
        <v>690</v>
      </c>
      <c r="F457" s="16"/>
      <c r="G457" s="16" t="s">
        <v>691</v>
      </c>
      <c r="H457" s="16" t="s">
        <v>692</v>
      </c>
      <c r="I457" s="16" t="s">
        <v>693</v>
      </c>
      <c r="J457" s="16" t="s">
        <v>694</v>
      </c>
      <c r="K457" s="21">
        <v>46290</v>
      </c>
    </row>
    <row r="458" ht="69" customHeight="1" spans="1:11" x14ac:dyDescent="0.25">
      <c r="A458" s="17" t="s">
        <v>180</v>
      </c>
      <c r="B458" s="17" t="s">
        <v>181</v>
      </c>
      <c r="C458" s="18" t="s">
        <v>183</v>
      </c>
      <c r="D458" s="16" t="s">
        <v>43</v>
      </c>
      <c r="E458" s="16" t="s">
        <v>695</v>
      </c>
      <c r="F458" s="16"/>
      <c r="G458" s="16" t="s">
        <v>691</v>
      </c>
      <c r="H458" s="16" t="s">
        <v>696</v>
      </c>
      <c r="I458" s="16" t="s">
        <v>693</v>
      </c>
      <c r="J458" s="16" t="s">
        <v>694</v>
      </c>
      <c r="K458" s="21">
        <v>46290</v>
      </c>
    </row>
    <row r="459" ht="69" customHeight="1" spans="1:11" x14ac:dyDescent="0.25">
      <c r="A459" s="17" t="s">
        <v>207</v>
      </c>
      <c r="B459" s="17" t="s">
        <v>208</v>
      </c>
      <c r="C459" s="18" t="s">
        <v>210</v>
      </c>
      <c r="D459" s="16" t="s">
        <v>539</v>
      </c>
      <c r="E459" s="16">
        <v>2024</v>
      </c>
      <c r="F459" s="16" t="s">
        <v>500</v>
      </c>
      <c r="G459" s="16" t="s">
        <v>697</v>
      </c>
      <c r="H459" s="16" t="s">
        <v>698</v>
      </c>
      <c r="I459" s="16" t="s">
        <v>635</v>
      </c>
      <c r="J459" s="16" t="s">
        <v>636</v>
      </c>
      <c r="K459" s="21">
        <v>46290</v>
      </c>
    </row>
  </sheetData>
  <mergeCells count="2">
    <mergeCell ref="A1:K1"/>
    <mergeCell ref="A2:K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FormatPr defaultRowHeight="15" outlineLevelRow="0" outlineLevelCol="0" x14ac:dyDescent="0"/>
  <cols>
    <col min="1" max="1" width="15" customWidth="1"/>
    <col min="2" max="2" width="27" customWidth="1"/>
    <col min="3" max="4" width="32" customWidth="1"/>
    <col min="5" max="6" width="40" customWidth="1"/>
    <col min="7" max="7" width="15" customWidth="1"/>
    <col min="8" max="8" width="40" customWidth="1"/>
  </cols>
  <sheetData>
    <row r="1" ht="38" customHeight="1" spans="1:8" x14ac:dyDescent="0.25">
      <c r="A1" s="14" t="s">
        <v>699</v>
      </c>
      <c r="B1" s="14"/>
      <c r="C1" s="14"/>
      <c r="D1" s="14"/>
      <c r="E1" s="14"/>
      <c r="F1" s="14"/>
      <c r="G1" s="14"/>
      <c r="H1" s="14"/>
    </row>
    <row r="2" ht="36" customHeight="1" spans="1:8" x14ac:dyDescent="0.25">
      <c r="A2" s="15" t="s">
        <v>700</v>
      </c>
      <c r="B2" s="15"/>
      <c r="C2" s="15"/>
      <c r="D2" s="15"/>
      <c r="E2" s="15"/>
      <c r="F2" s="15"/>
      <c r="G2" s="15"/>
      <c r="H2" s="15"/>
    </row>
    <row r="3" ht="9" customHeight="1" spans="1:8" x14ac:dyDescent="0.25">
      <c r="A3" s="16"/>
      <c r="B3" s="16"/>
      <c r="C3" s="16"/>
      <c r="D3" s="16"/>
      <c r="E3" s="16"/>
      <c r="F3" s="16"/>
      <c r="G3" s="16"/>
      <c r="H3" s="16"/>
    </row>
    <row r="4" ht="36" customHeight="1" spans="1:8" x14ac:dyDescent="0.25">
      <c r="A4" s="4" t="s">
        <v>487</v>
      </c>
      <c r="B4" s="4" t="s">
        <v>701</v>
      </c>
      <c r="C4" s="4" t="s">
        <v>702</v>
      </c>
      <c r="D4" s="4" t="s">
        <v>703</v>
      </c>
      <c r="E4" s="4" t="s">
        <v>704</v>
      </c>
      <c r="F4" s="4" t="s">
        <v>488</v>
      </c>
      <c r="G4" s="4" t="s">
        <v>705</v>
      </c>
      <c r="H4" s="4" t="s">
        <v>706</v>
      </c>
    </row>
    <row r="5" ht="82" customHeight="1" spans="1:8" x14ac:dyDescent="0.25">
      <c r="A5" s="17" t="s">
        <v>707</v>
      </c>
      <c r="B5" s="17" t="s">
        <v>371</v>
      </c>
      <c r="C5" s="16" t="s">
        <v>708</v>
      </c>
      <c r="D5" s="16" t="s">
        <v>709</v>
      </c>
      <c r="E5" s="16" t="s">
        <v>710</v>
      </c>
      <c r="F5" s="16" t="s">
        <v>711</v>
      </c>
      <c r="G5" s="21">
        <v>46290</v>
      </c>
      <c r="H5" s="16" t="s">
        <v>712</v>
      </c>
    </row>
    <row r="6" ht="82" customHeight="1" spans="1:8" x14ac:dyDescent="0.25">
      <c r="A6" s="17" t="s">
        <v>573</v>
      </c>
      <c r="B6" s="17" t="s">
        <v>371</v>
      </c>
      <c r="C6" s="16" t="s">
        <v>708</v>
      </c>
      <c r="D6" s="16" t="s">
        <v>713</v>
      </c>
      <c r="E6" s="16" t="s">
        <v>714</v>
      </c>
      <c r="F6" s="16" t="s">
        <v>116</v>
      </c>
      <c r="G6" s="21">
        <v>46290</v>
      </c>
      <c r="H6" s="16" t="s">
        <v>715</v>
      </c>
    </row>
    <row r="7" ht="82" customHeight="1" spans="1:8" x14ac:dyDescent="0.25">
      <c r="A7" s="17" t="s">
        <v>451</v>
      </c>
      <c r="B7" s="17" t="s">
        <v>716</v>
      </c>
      <c r="C7" s="16" t="s">
        <v>450</v>
      </c>
      <c r="D7" s="16" t="s">
        <v>717</v>
      </c>
      <c r="E7" s="16" t="s">
        <v>718</v>
      </c>
      <c r="F7" s="16" t="s">
        <v>452</v>
      </c>
      <c r="G7" s="21">
        <v>46290</v>
      </c>
      <c r="H7" s="16" t="s">
        <v>719</v>
      </c>
    </row>
    <row r="8" ht="82" customHeight="1" spans="1:8" x14ac:dyDescent="0.25">
      <c r="A8" s="17" t="s">
        <v>447</v>
      </c>
      <c r="B8" s="17" t="s">
        <v>720</v>
      </c>
      <c r="C8" s="16" t="s">
        <v>446</v>
      </c>
      <c r="D8" s="16" t="s">
        <v>721</v>
      </c>
      <c r="E8" s="16" t="s">
        <v>722</v>
      </c>
      <c r="F8" s="16" t="s">
        <v>448</v>
      </c>
      <c r="G8" s="21">
        <v>46290</v>
      </c>
      <c r="H8" s="16" t="s">
        <v>723</v>
      </c>
    </row>
    <row r="9" ht="82" customHeight="1" spans="1:8" x14ac:dyDescent="0.25">
      <c r="A9" s="17" t="s">
        <v>327</v>
      </c>
      <c r="B9" s="17" t="s">
        <v>371</v>
      </c>
      <c r="C9" s="16" t="s">
        <v>708</v>
      </c>
      <c r="D9" s="16" t="s">
        <v>724</v>
      </c>
      <c r="E9" s="16" t="s">
        <v>725</v>
      </c>
      <c r="F9" s="16" t="s">
        <v>328</v>
      </c>
      <c r="G9" s="21">
        <v>46290</v>
      </c>
      <c r="H9" s="16" t="s">
        <v>726</v>
      </c>
    </row>
    <row r="10" ht="82" customHeight="1" spans="1:8" x14ac:dyDescent="0.25">
      <c r="A10" s="17" t="s">
        <v>56</v>
      </c>
      <c r="B10" s="17" t="s">
        <v>727</v>
      </c>
      <c r="C10" s="16" t="s">
        <v>425</v>
      </c>
      <c r="D10" s="16" t="s">
        <v>57</v>
      </c>
      <c r="E10" s="16" t="s">
        <v>728</v>
      </c>
      <c r="F10" s="16" t="s">
        <v>426</v>
      </c>
      <c r="G10" s="21">
        <v>46290</v>
      </c>
      <c r="H10" s="16" t="s">
        <v>729</v>
      </c>
    </row>
    <row r="11" ht="82" customHeight="1" spans="1:8" x14ac:dyDescent="0.25">
      <c r="A11" s="17" t="s">
        <v>70</v>
      </c>
      <c r="B11" s="17" t="s">
        <v>730</v>
      </c>
      <c r="C11" s="16" t="s">
        <v>428</v>
      </c>
      <c r="D11" s="16" t="s">
        <v>71</v>
      </c>
      <c r="E11" s="16" t="s">
        <v>731</v>
      </c>
      <c r="F11" s="16" t="s">
        <v>429</v>
      </c>
      <c r="G11" s="21">
        <v>46290</v>
      </c>
      <c r="H11" s="16" t="s">
        <v>732</v>
      </c>
    </row>
    <row r="12" ht="82" customHeight="1" spans="1:8" x14ac:dyDescent="0.25">
      <c r="A12" s="17" t="s">
        <v>80</v>
      </c>
      <c r="B12" s="17" t="s">
        <v>733</v>
      </c>
      <c r="C12" s="16" t="s">
        <v>431</v>
      </c>
      <c r="D12" s="16" t="s">
        <v>734</v>
      </c>
      <c r="E12" s="16" t="s">
        <v>735</v>
      </c>
      <c r="F12" s="16" t="s">
        <v>432</v>
      </c>
      <c r="G12" s="21">
        <v>46290</v>
      </c>
      <c r="H12" s="16" t="s">
        <v>736</v>
      </c>
    </row>
    <row r="13" ht="82" customHeight="1" spans="1:8" x14ac:dyDescent="0.25">
      <c r="A13" s="17" t="s">
        <v>89</v>
      </c>
      <c r="B13" s="17" t="s">
        <v>733</v>
      </c>
      <c r="C13" s="16" t="s">
        <v>431</v>
      </c>
      <c r="D13" s="16" t="s">
        <v>90</v>
      </c>
      <c r="E13" s="16" t="s">
        <v>737</v>
      </c>
      <c r="F13" s="16" t="s">
        <v>434</v>
      </c>
      <c r="G13" s="21">
        <v>46290</v>
      </c>
      <c r="H13" s="16" t="s">
        <v>738</v>
      </c>
    </row>
    <row r="14" ht="82" customHeight="1" spans="1:8" x14ac:dyDescent="0.25">
      <c r="A14" s="17" t="s">
        <v>99</v>
      </c>
      <c r="B14" s="17" t="s">
        <v>733</v>
      </c>
      <c r="C14" s="16" t="s">
        <v>436</v>
      </c>
      <c r="D14" s="16" t="s">
        <v>100</v>
      </c>
      <c r="E14" s="16" t="s">
        <v>739</v>
      </c>
      <c r="F14" s="16" t="s">
        <v>437</v>
      </c>
      <c r="G14" s="21">
        <v>46290</v>
      </c>
      <c r="H14" s="16"/>
    </row>
    <row r="15" ht="82" customHeight="1" spans="1:8" x14ac:dyDescent="0.25">
      <c r="A15" s="17" t="s">
        <v>108</v>
      </c>
      <c r="B15" s="17" t="s">
        <v>740</v>
      </c>
      <c r="C15" s="16" t="s">
        <v>439</v>
      </c>
      <c r="D15" s="16" t="s">
        <v>741</v>
      </c>
      <c r="E15" s="16" t="s">
        <v>742</v>
      </c>
      <c r="F15" s="16" t="s">
        <v>440</v>
      </c>
      <c r="G15" s="21">
        <v>46290</v>
      </c>
      <c r="H15" s="16" t="s">
        <v>743</v>
      </c>
    </row>
    <row r="16" ht="82" customHeight="1" spans="1:8" x14ac:dyDescent="0.25">
      <c r="A16" s="17" t="s">
        <v>118</v>
      </c>
      <c r="B16" s="17" t="s">
        <v>733</v>
      </c>
      <c r="C16" s="16" t="s">
        <v>436</v>
      </c>
      <c r="D16" s="16" t="s">
        <v>119</v>
      </c>
      <c r="E16" s="16" t="s">
        <v>744</v>
      </c>
      <c r="F16" s="16" t="s">
        <v>442</v>
      </c>
      <c r="G16" s="21">
        <v>46290</v>
      </c>
      <c r="H16" s="16"/>
    </row>
    <row r="17" ht="82" customHeight="1" spans="1:8" x14ac:dyDescent="0.25">
      <c r="A17" s="17" t="s">
        <v>129</v>
      </c>
      <c r="B17" s="17" t="s">
        <v>745</v>
      </c>
      <c r="C17" s="16" t="s">
        <v>443</v>
      </c>
      <c r="D17" s="16" t="s">
        <v>746</v>
      </c>
      <c r="E17" s="16" t="s">
        <v>747</v>
      </c>
      <c r="F17" s="16" t="s">
        <v>444</v>
      </c>
      <c r="G17" s="21">
        <v>46290</v>
      </c>
      <c r="H17" s="16" t="s">
        <v>748</v>
      </c>
    </row>
    <row r="18" ht="82" customHeight="1" spans="1:8" x14ac:dyDescent="0.25">
      <c r="A18" s="17" t="s">
        <v>171</v>
      </c>
      <c r="B18" s="17" t="s">
        <v>749</v>
      </c>
      <c r="C18" s="16" t="s">
        <v>454</v>
      </c>
      <c r="D18" s="16" t="s">
        <v>172</v>
      </c>
      <c r="E18" s="16" t="s">
        <v>750</v>
      </c>
      <c r="F18" s="16" t="s">
        <v>455</v>
      </c>
      <c r="G18" s="21">
        <v>46290</v>
      </c>
      <c r="H18" s="16" t="s">
        <v>751</v>
      </c>
    </row>
    <row r="19" ht="82" customHeight="1" spans="1:8" x14ac:dyDescent="0.25">
      <c r="A19" s="17" t="s">
        <v>190</v>
      </c>
      <c r="B19" s="17" t="s">
        <v>752</v>
      </c>
      <c r="C19" s="16" t="s">
        <v>462</v>
      </c>
      <c r="D19" s="16" t="s">
        <v>191</v>
      </c>
      <c r="E19" s="16" t="s">
        <v>753</v>
      </c>
      <c r="F19" s="16" t="s">
        <v>463</v>
      </c>
      <c r="G19" s="21">
        <v>46290</v>
      </c>
      <c r="H19" s="16" t="s">
        <v>754</v>
      </c>
    </row>
    <row r="20" ht="82" customHeight="1" spans="1:8" x14ac:dyDescent="0.25">
      <c r="A20" s="17" t="s">
        <v>198</v>
      </c>
      <c r="B20" s="17" t="s">
        <v>733</v>
      </c>
      <c r="C20" s="16" t="s">
        <v>436</v>
      </c>
      <c r="D20" s="16" t="s">
        <v>755</v>
      </c>
      <c r="E20" s="16" t="s">
        <v>756</v>
      </c>
      <c r="F20" s="16" t="s">
        <v>465</v>
      </c>
      <c r="G20" s="21">
        <v>46290</v>
      </c>
      <c r="H20" s="16" t="s">
        <v>757</v>
      </c>
    </row>
    <row r="21" ht="82" customHeight="1" spans="1:8" x14ac:dyDescent="0.25">
      <c r="A21" s="17" t="s">
        <v>216</v>
      </c>
      <c r="B21" s="17" t="s">
        <v>758</v>
      </c>
      <c r="C21" s="16" t="s">
        <v>467</v>
      </c>
      <c r="D21" s="16" t="s">
        <v>217</v>
      </c>
      <c r="E21" s="16" t="s">
        <v>759</v>
      </c>
      <c r="F21" s="16" t="s">
        <v>468</v>
      </c>
      <c r="G21" s="21">
        <v>46290</v>
      </c>
      <c r="H21" s="16"/>
    </row>
    <row r="22" ht="82" customHeight="1" spans="1:8" x14ac:dyDescent="0.25">
      <c r="A22" s="17" t="s">
        <v>233</v>
      </c>
      <c r="B22" s="17" t="s">
        <v>758</v>
      </c>
      <c r="C22" s="16" t="s">
        <v>469</v>
      </c>
      <c r="D22" s="16" t="s">
        <v>760</v>
      </c>
      <c r="E22" s="16" t="s">
        <v>761</v>
      </c>
      <c r="F22" s="16" t="s">
        <v>470</v>
      </c>
      <c r="G22" s="21">
        <v>46290</v>
      </c>
      <c r="H22" s="16" t="s">
        <v>762</v>
      </c>
    </row>
    <row r="23" ht="82" customHeight="1" spans="1:8" x14ac:dyDescent="0.25">
      <c r="A23" s="17" t="s">
        <v>473</v>
      </c>
      <c r="B23" s="17" t="s">
        <v>763</v>
      </c>
      <c r="C23" s="16" t="s">
        <v>472</v>
      </c>
      <c r="D23" s="16" t="s">
        <v>764</v>
      </c>
      <c r="E23" s="16" t="s">
        <v>765</v>
      </c>
      <c r="F23" s="16" t="s">
        <v>474</v>
      </c>
      <c r="G23" s="21">
        <v>46290</v>
      </c>
      <c r="H23" s="16"/>
    </row>
    <row r="24" ht="82" customHeight="1" spans="1:8" x14ac:dyDescent="0.25">
      <c r="A24" s="17" t="s">
        <v>478</v>
      </c>
      <c r="B24" s="17" t="s">
        <v>763</v>
      </c>
      <c r="C24" s="16" t="s">
        <v>472</v>
      </c>
      <c r="D24" s="16" t="s">
        <v>766</v>
      </c>
      <c r="E24" s="16" t="s">
        <v>767</v>
      </c>
      <c r="F24" s="16" t="s">
        <v>479</v>
      </c>
      <c r="G24" s="21">
        <v>46290</v>
      </c>
      <c r="H24" s="16" t="s">
        <v>768</v>
      </c>
    </row>
    <row r="25" ht="82" customHeight="1" spans="1:8" x14ac:dyDescent="0.25">
      <c r="A25" s="17" t="s">
        <v>565</v>
      </c>
      <c r="B25" s="17" t="s">
        <v>769</v>
      </c>
      <c r="C25" s="16" t="s">
        <v>770</v>
      </c>
      <c r="D25" s="16" t="s">
        <v>90</v>
      </c>
      <c r="E25" s="16" t="s">
        <v>771</v>
      </c>
      <c r="F25" s="16" t="s">
        <v>98</v>
      </c>
      <c r="G25" s="21">
        <v>46290</v>
      </c>
      <c r="H25" s="16" t="s">
        <v>772</v>
      </c>
    </row>
    <row r="26" ht="82" customHeight="1" spans="1:8" x14ac:dyDescent="0.25">
      <c r="A26" s="17" t="s">
        <v>588</v>
      </c>
      <c r="B26" s="17" t="s">
        <v>773</v>
      </c>
      <c r="C26" s="16" t="s">
        <v>774</v>
      </c>
      <c r="D26" s="16" t="s">
        <v>150</v>
      </c>
      <c r="E26" s="16" t="s">
        <v>775</v>
      </c>
      <c r="F26" s="16" t="s">
        <v>159</v>
      </c>
      <c r="G26" s="21">
        <v>46290</v>
      </c>
      <c r="H26" s="16" t="s">
        <v>776</v>
      </c>
    </row>
    <row r="27" ht="82" customHeight="1" spans="1:8" x14ac:dyDescent="0.25">
      <c r="A27" s="17" t="s">
        <v>545</v>
      </c>
      <c r="B27" s="17" t="s">
        <v>777</v>
      </c>
      <c r="C27" s="16" t="s">
        <v>778</v>
      </c>
      <c r="D27" s="16" t="s">
        <v>71</v>
      </c>
      <c r="E27" s="16" t="s">
        <v>779</v>
      </c>
      <c r="F27" s="16" t="s">
        <v>546</v>
      </c>
      <c r="G27" s="21">
        <v>46290</v>
      </c>
      <c r="H27" s="16"/>
    </row>
    <row r="28" ht="82" customHeight="1" spans="1:8" x14ac:dyDescent="0.25">
      <c r="A28" s="17" t="s">
        <v>558</v>
      </c>
      <c r="B28" s="17" t="s">
        <v>777</v>
      </c>
      <c r="C28" s="16" t="s">
        <v>425</v>
      </c>
      <c r="D28" s="16" t="s">
        <v>81</v>
      </c>
      <c r="E28" s="16" t="s">
        <v>780</v>
      </c>
      <c r="F28" s="16" t="s">
        <v>559</v>
      </c>
      <c r="G28" s="21">
        <v>46290</v>
      </c>
      <c r="H28" s="16"/>
    </row>
    <row r="29" ht="82" customHeight="1" spans="1:8" x14ac:dyDescent="0.25">
      <c r="A29" s="17" t="s">
        <v>569</v>
      </c>
      <c r="B29" s="17" t="s">
        <v>781</v>
      </c>
      <c r="C29" s="16" t="s">
        <v>425</v>
      </c>
      <c r="D29" s="16" t="s">
        <v>100</v>
      </c>
      <c r="E29" s="16" t="s">
        <v>782</v>
      </c>
      <c r="F29" s="16" t="s">
        <v>570</v>
      </c>
      <c r="G29" s="21">
        <v>46290</v>
      </c>
      <c r="H29" s="16" t="s">
        <v>783</v>
      </c>
    </row>
    <row r="30" ht="82" customHeight="1" spans="1:8" x14ac:dyDescent="0.25">
      <c r="A30" s="17" t="s">
        <v>321</v>
      </c>
      <c r="B30" s="17" t="s">
        <v>745</v>
      </c>
      <c r="C30" s="16" t="s">
        <v>443</v>
      </c>
      <c r="D30" s="16" t="s">
        <v>784</v>
      </c>
      <c r="E30" s="16" t="s">
        <v>785</v>
      </c>
      <c r="F30" s="16" t="s">
        <v>322</v>
      </c>
      <c r="G30" s="21">
        <v>46290</v>
      </c>
      <c r="H30" s="16" t="s">
        <v>786</v>
      </c>
    </row>
    <row r="31" ht="82" customHeight="1" spans="1:8" x14ac:dyDescent="0.25">
      <c r="A31" s="17" t="s">
        <v>592</v>
      </c>
      <c r="B31" s="17" t="s">
        <v>787</v>
      </c>
      <c r="C31" s="16" t="s">
        <v>788</v>
      </c>
      <c r="D31" s="16" t="s">
        <v>161</v>
      </c>
      <c r="E31" s="16" t="s">
        <v>789</v>
      </c>
      <c r="F31" s="16" t="s">
        <v>593</v>
      </c>
      <c r="G31" s="21">
        <v>46290</v>
      </c>
      <c r="H31" s="16" t="s">
        <v>790</v>
      </c>
    </row>
    <row r="32" ht="82" customHeight="1" spans="1:8" x14ac:dyDescent="0.25">
      <c r="A32" s="17" t="s">
        <v>635</v>
      </c>
      <c r="B32" s="17" t="s">
        <v>787</v>
      </c>
      <c r="C32" s="16" t="s">
        <v>788</v>
      </c>
      <c r="D32" s="16" t="s">
        <v>208</v>
      </c>
      <c r="E32" s="16" t="s">
        <v>791</v>
      </c>
      <c r="F32" s="16" t="s">
        <v>636</v>
      </c>
      <c r="G32" s="21">
        <v>46290</v>
      </c>
      <c r="H32" s="16" t="s">
        <v>792</v>
      </c>
    </row>
    <row r="33" ht="82" customHeight="1" spans="1:8" x14ac:dyDescent="0.25">
      <c r="A33" s="17" t="s">
        <v>607</v>
      </c>
      <c r="B33" s="17" t="s">
        <v>763</v>
      </c>
      <c r="C33" s="16" t="s">
        <v>472</v>
      </c>
      <c r="D33" s="16" t="s">
        <v>172</v>
      </c>
      <c r="E33" s="16" t="s">
        <v>793</v>
      </c>
      <c r="F33" s="16" t="s">
        <v>608</v>
      </c>
      <c r="G33" s="21">
        <v>46290</v>
      </c>
      <c r="H33" s="16"/>
    </row>
    <row r="34" ht="82" customHeight="1" spans="1:8" x14ac:dyDescent="0.25">
      <c r="A34" s="17" t="s">
        <v>619</v>
      </c>
      <c r="B34" s="17" t="s">
        <v>763</v>
      </c>
      <c r="C34" s="16" t="s">
        <v>472</v>
      </c>
      <c r="D34" s="16" t="s">
        <v>181</v>
      </c>
      <c r="E34" s="16" t="s">
        <v>794</v>
      </c>
      <c r="F34" s="16" t="s">
        <v>620</v>
      </c>
      <c r="G34" s="21">
        <v>46290</v>
      </c>
      <c r="H34" s="16"/>
    </row>
    <row r="35" ht="82" customHeight="1" spans="1:8" x14ac:dyDescent="0.25">
      <c r="A35" s="17" t="s">
        <v>640</v>
      </c>
      <c r="B35" s="17" t="s">
        <v>763</v>
      </c>
      <c r="C35" s="16" t="s">
        <v>472</v>
      </c>
      <c r="D35" s="16" t="s">
        <v>217</v>
      </c>
      <c r="E35" s="16" t="s">
        <v>795</v>
      </c>
      <c r="F35" s="16" t="s">
        <v>641</v>
      </c>
      <c r="G35" s="21">
        <v>46290</v>
      </c>
      <c r="H35" s="16"/>
    </row>
    <row r="36" ht="82" customHeight="1" spans="1:8" x14ac:dyDescent="0.25">
      <c r="A36" s="17" t="s">
        <v>645</v>
      </c>
      <c r="B36" s="17" t="s">
        <v>763</v>
      </c>
      <c r="C36" s="16" t="s">
        <v>472</v>
      </c>
      <c r="D36" s="16" t="s">
        <v>226</v>
      </c>
      <c r="E36" s="16" t="s">
        <v>796</v>
      </c>
      <c r="F36" s="16" t="s">
        <v>646</v>
      </c>
      <c r="G36" s="21">
        <v>46290</v>
      </c>
      <c r="H36" s="16"/>
    </row>
    <row r="37" ht="82" customHeight="1" spans="1:8" x14ac:dyDescent="0.25">
      <c r="A37" s="17" t="s">
        <v>650</v>
      </c>
      <c r="B37" s="17" t="s">
        <v>763</v>
      </c>
      <c r="C37" s="16" t="s">
        <v>472</v>
      </c>
      <c r="D37" s="16" t="s">
        <v>234</v>
      </c>
      <c r="E37" s="16" t="s">
        <v>797</v>
      </c>
      <c r="F37" s="16" t="s">
        <v>651</v>
      </c>
      <c r="G37" s="21">
        <v>46290</v>
      </c>
      <c r="H37" s="16"/>
    </row>
    <row r="38" ht="82" customHeight="1" spans="1:8" x14ac:dyDescent="0.25">
      <c r="A38" s="17" t="s">
        <v>658</v>
      </c>
      <c r="B38" s="17" t="s">
        <v>763</v>
      </c>
      <c r="C38" s="16" t="s">
        <v>472</v>
      </c>
      <c r="D38" s="16" t="s">
        <v>242</v>
      </c>
      <c r="E38" s="16" t="s">
        <v>798</v>
      </c>
      <c r="F38" s="16" t="s">
        <v>659</v>
      </c>
      <c r="G38" s="21">
        <v>46290</v>
      </c>
      <c r="H38" s="16" t="s">
        <v>799</v>
      </c>
    </row>
    <row r="39" ht="82" customHeight="1" spans="1:8" x14ac:dyDescent="0.25">
      <c r="A39" s="17" t="s">
        <v>495</v>
      </c>
      <c r="B39" s="17" t="s">
        <v>371</v>
      </c>
      <c r="C39" s="16" t="s">
        <v>708</v>
      </c>
      <c r="D39" s="16" t="s">
        <v>57</v>
      </c>
      <c r="E39" s="16" t="s">
        <v>800</v>
      </c>
      <c r="F39" s="16" t="s">
        <v>68</v>
      </c>
      <c r="G39" s="21">
        <v>46290</v>
      </c>
      <c r="H39" s="16" t="s">
        <v>801</v>
      </c>
    </row>
    <row r="40" ht="82" customHeight="1" spans="1:8" x14ac:dyDescent="0.25">
      <c r="A40" s="17" t="s">
        <v>498</v>
      </c>
      <c r="B40" s="17" t="s">
        <v>802</v>
      </c>
      <c r="C40" s="16" t="s">
        <v>803</v>
      </c>
      <c r="D40" s="16" t="s">
        <v>57</v>
      </c>
      <c r="E40" s="16" t="s">
        <v>804</v>
      </c>
      <c r="F40" s="16" t="s">
        <v>69</v>
      </c>
      <c r="G40" s="21">
        <v>46290</v>
      </c>
      <c r="H40" s="16" t="s">
        <v>805</v>
      </c>
    </row>
    <row r="41" ht="82" customHeight="1" spans="1:8" x14ac:dyDescent="0.25">
      <c r="A41" s="17" t="s">
        <v>541</v>
      </c>
      <c r="B41" s="17" t="s">
        <v>371</v>
      </c>
      <c r="C41" s="16" t="s">
        <v>708</v>
      </c>
      <c r="D41" s="16" t="s">
        <v>71</v>
      </c>
      <c r="E41" s="16" t="s">
        <v>800</v>
      </c>
      <c r="F41" s="16" t="s">
        <v>78</v>
      </c>
      <c r="G41" s="21">
        <v>46290</v>
      </c>
      <c r="H41" s="16" t="s">
        <v>801</v>
      </c>
    </row>
    <row r="42" ht="82" customHeight="1" spans="1:8" x14ac:dyDescent="0.25">
      <c r="A42" s="17" t="s">
        <v>542</v>
      </c>
      <c r="B42" s="17" t="s">
        <v>802</v>
      </c>
      <c r="C42" s="16" t="s">
        <v>803</v>
      </c>
      <c r="D42" s="16" t="s">
        <v>71</v>
      </c>
      <c r="E42" s="16" t="s">
        <v>804</v>
      </c>
      <c r="F42" s="16" t="s">
        <v>79</v>
      </c>
      <c r="G42" s="21">
        <v>46290</v>
      </c>
      <c r="H42" s="16" t="s">
        <v>805</v>
      </c>
    </row>
    <row r="43" ht="82" customHeight="1" spans="1:8" x14ac:dyDescent="0.25">
      <c r="A43" s="17" t="s">
        <v>556</v>
      </c>
      <c r="B43" s="17" t="s">
        <v>371</v>
      </c>
      <c r="C43" s="16" t="s">
        <v>708</v>
      </c>
      <c r="D43" s="16" t="s">
        <v>81</v>
      </c>
      <c r="E43" s="16" t="s">
        <v>800</v>
      </c>
      <c r="F43" s="16" t="s">
        <v>87</v>
      </c>
      <c r="G43" s="21">
        <v>46290</v>
      </c>
      <c r="H43" s="16" t="s">
        <v>801</v>
      </c>
    </row>
    <row r="44" ht="82" customHeight="1" spans="1:8" x14ac:dyDescent="0.25">
      <c r="A44" s="17" t="s">
        <v>557</v>
      </c>
      <c r="B44" s="17" t="s">
        <v>802</v>
      </c>
      <c r="C44" s="16" t="s">
        <v>803</v>
      </c>
      <c r="D44" s="16" t="s">
        <v>81</v>
      </c>
      <c r="E44" s="16" t="s">
        <v>804</v>
      </c>
      <c r="F44" s="16" t="s">
        <v>88</v>
      </c>
      <c r="G44" s="21">
        <v>46290</v>
      </c>
      <c r="H44" s="16" t="s">
        <v>805</v>
      </c>
    </row>
    <row r="45" ht="82" customHeight="1" spans="1:8" x14ac:dyDescent="0.25">
      <c r="A45" s="17" t="s">
        <v>314</v>
      </c>
      <c r="B45" s="17" t="s">
        <v>371</v>
      </c>
      <c r="C45" s="16" t="s">
        <v>708</v>
      </c>
      <c r="D45" s="16" t="s">
        <v>90</v>
      </c>
      <c r="E45" s="16" t="s">
        <v>800</v>
      </c>
      <c r="F45" s="16" t="s">
        <v>96</v>
      </c>
      <c r="G45" s="21">
        <v>46290</v>
      </c>
      <c r="H45" s="16" t="s">
        <v>801</v>
      </c>
    </row>
    <row r="46" ht="82" customHeight="1" spans="1:8" x14ac:dyDescent="0.25">
      <c r="A46" s="17" t="s">
        <v>564</v>
      </c>
      <c r="B46" s="17" t="s">
        <v>802</v>
      </c>
      <c r="C46" s="16" t="s">
        <v>803</v>
      </c>
      <c r="D46" s="16" t="s">
        <v>90</v>
      </c>
      <c r="E46" s="16" t="s">
        <v>804</v>
      </c>
      <c r="F46" s="16" t="s">
        <v>97</v>
      </c>
      <c r="G46" s="21">
        <v>46290</v>
      </c>
      <c r="H46" s="16" t="s">
        <v>805</v>
      </c>
    </row>
    <row r="47" ht="82" customHeight="1" spans="1:8" x14ac:dyDescent="0.25">
      <c r="A47" s="17" t="s">
        <v>567</v>
      </c>
      <c r="B47" s="17" t="s">
        <v>371</v>
      </c>
      <c r="C47" s="16" t="s">
        <v>708</v>
      </c>
      <c r="D47" s="16" t="s">
        <v>100</v>
      </c>
      <c r="E47" s="16" t="s">
        <v>800</v>
      </c>
      <c r="F47" s="16" t="s">
        <v>106</v>
      </c>
      <c r="G47" s="21">
        <v>46290</v>
      </c>
      <c r="H47" s="16" t="s">
        <v>801</v>
      </c>
    </row>
    <row r="48" ht="82" customHeight="1" spans="1:8" x14ac:dyDescent="0.25">
      <c r="A48" s="17" t="s">
        <v>568</v>
      </c>
      <c r="B48" s="17" t="s">
        <v>802</v>
      </c>
      <c r="C48" s="16" t="s">
        <v>803</v>
      </c>
      <c r="D48" s="16" t="s">
        <v>100</v>
      </c>
      <c r="E48" s="16" t="s">
        <v>804</v>
      </c>
      <c r="F48" s="16" t="s">
        <v>107</v>
      </c>
      <c r="G48" s="21">
        <v>46290</v>
      </c>
      <c r="H48" s="16" t="s">
        <v>805</v>
      </c>
    </row>
    <row r="49" ht="82" customHeight="1" spans="1:8" x14ac:dyDescent="0.25">
      <c r="A49" s="17" t="s">
        <v>574</v>
      </c>
      <c r="B49" s="17" t="s">
        <v>802</v>
      </c>
      <c r="C49" s="16" t="s">
        <v>803</v>
      </c>
      <c r="D49" s="16" t="s">
        <v>109</v>
      </c>
      <c r="E49" s="16" t="s">
        <v>804</v>
      </c>
      <c r="F49" s="16" t="s">
        <v>117</v>
      </c>
      <c r="G49" s="21">
        <v>46290</v>
      </c>
      <c r="H49" s="16" t="s">
        <v>805</v>
      </c>
    </row>
    <row r="50" ht="82" customHeight="1" spans="1:8" x14ac:dyDescent="0.25">
      <c r="A50" s="17" t="s">
        <v>323</v>
      </c>
      <c r="B50" s="17" t="s">
        <v>371</v>
      </c>
      <c r="C50" s="16" t="s">
        <v>708</v>
      </c>
      <c r="D50" s="16" t="s">
        <v>119</v>
      </c>
      <c r="E50" s="16" t="s">
        <v>800</v>
      </c>
      <c r="F50" s="16" t="s">
        <v>127</v>
      </c>
      <c r="G50" s="21">
        <v>46290</v>
      </c>
      <c r="H50" s="16" t="s">
        <v>801</v>
      </c>
    </row>
    <row r="51" ht="82" customHeight="1" spans="1:8" x14ac:dyDescent="0.25">
      <c r="A51" s="17" t="s">
        <v>577</v>
      </c>
      <c r="B51" s="17" t="s">
        <v>802</v>
      </c>
      <c r="C51" s="16" t="s">
        <v>803</v>
      </c>
      <c r="D51" s="16" t="s">
        <v>119</v>
      </c>
      <c r="E51" s="16" t="s">
        <v>804</v>
      </c>
      <c r="F51" s="16" t="s">
        <v>128</v>
      </c>
      <c r="G51" s="21">
        <v>46290</v>
      </c>
      <c r="H51" s="16" t="s">
        <v>805</v>
      </c>
    </row>
    <row r="52" ht="82" customHeight="1" spans="1:8" x14ac:dyDescent="0.25">
      <c r="A52" s="17" t="s">
        <v>325</v>
      </c>
      <c r="B52" s="17" t="s">
        <v>371</v>
      </c>
      <c r="C52" s="16" t="s">
        <v>708</v>
      </c>
      <c r="D52" s="16" t="s">
        <v>130</v>
      </c>
      <c r="E52" s="16" t="s">
        <v>800</v>
      </c>
      <c r="F52" s="16" t="s">
        <v>136</v>
      </c>
      <c r="G52" s="21">
        <v>46290</v>
      </c>
      <c r="H52" s="16" t="s">
        <v>801</v>
      </c>
    </row>
    <row r="53" ht="82" customHeight="1" spans="1:8" x14ac:dyDescent="0.25">
      <c r="A53" s="17" t="s">
        <v>578</v>
      </c>
      <c r="B53" s="17" t="s">
        <v>802</v>
      </c>
      <c r="C53" s="16" t="s">
        <v>803</v>
      </c>
      <c r="D53" s="16" t="s">
        <v>130</v>
      </c>
      <c r="E53" s="16" t="s">
        <v>804</v>
      </c>
      <c r="F53" s="16" t="s">
        <v>137</v>
      </c>
      <c r="G53" s="21">
        <v>46290</v>
      </c>
      <c r="H53" s="16" t="s">
        <v>805</v>
      </c>
    </row>
    <row r="54" ht="82" customHeight="1" spans="1:8" x14ac:dyDescent="0.25">
      <c r="A54" s="17" t="s">
        <v>579</v>
      </c>
      <c r="B54" s="17" t="s">
        <v>371</v>
      </c>
      <c r="C54" s="16" t="s">
        <v>708</v>
      </c>
      <c r="D54" s="16" t="s">
        <v>139</v>
      </c>
      <c r="E54" s="16" t="s">
        <v>800</v>
      </c>
      <c r="F54" s="16" t="s">
        <v>147</v>
      </c>
      <c r="G54" s="21">
        <v>46290</v>
      </c>
      <c r="H54" s="16" t="s">
        <v>801</v>
      </c>
    </row>
    <row r="55" ht="82" customHeight="1" spans="1:8" x14ac:dyDescent="0.25">
      <c r="A55" s="17" t="s">
        <v>580</v>
      </c>
      <c r="B55" s="17" t="s">
        <v>802</v>
      </c>
      <c r="C55" s="16" t="s">
        <v>803</v>
      </c>
      <c r="D55" s="16" t="s">
        <v>139</v>
      </c>
      <c r="E55" s="16" t="s">
        <v>804</v>
      </c>
      <c r="F55" s="16" t="s">
        <v>148</v>
      </c>
      <c r="G55" s="21">
        <v>46290</v>
      </c>
      <c r="H55" s="16" t="s">
        <v>805</v>
      </c>
    </row>
    <row r="56" ht="82" customHeight="1" spans="1:8" x14ac:dyDescent="0.25">
      <c r="A56" s="17" t="s">
        <v>332</v>
      </c>
      <c r="B56" s="17" t="s">
        <v>371</v>
      </c>
      <c r="C56" s="16" t="s">
        <v>708</v>
      </c>
      <c r="D56" s="16" t="s">
        <v>150</v>
      </c>
      <c r="E56" s="16" t="s">
        <v>800</v>
      </c>
      <c r="F56" s="16" t="s">
        <v>157</v>
      </c>
      <c r="G56" s="21">
        <v>46290</v>
      </c>
      <c r="H56" s="16" t="s">
        <v>801</v>
      </c>
    </row>
    <row r="57" ht="82" customHeight="1" spans="1:8" x14ac:dyDescent="0.25">
      <c r="A57" s="17" t="s">
        <v>587</v>
      </c>
      <c r="B57" s="17" t="s">
        <v>802</v>
      </c>
      <c r="C57" s="16" t="s">
        <v>803</v>
      </c>
      <c r="D57" s="16" t="s">
        <v>150</v>
      </c>
      <c r="E57" s="16" t="s">
        <v>804</v>
      </c>
      <c r="F57" s="16" t="s">
        <v>158</v>
      </c>
      <c r="G57" s="21">
        <v>46290</v>
      </c>
      <c r="H57" s="16" t="s">
        <v>805</v>
      </c>
    </row>
    <row r="58" ht="82" customHeight="1" spans="1:8" x14ac:dyDescent="0.25">
      <c r="A58" s="17" t="s">
        <v>589</v>
      </c>
      <c r="B58" s="17" t="s">
        <v>371</v>
      </c>
      <c r="C58" s="16" t="s">
        <v>708</v>
      </c>
      <c r="D58" s="16" t="s">
        <v>161</v>
      </c>
      <c r="E58" s="16" t="s">
        <v>800</v>
      </c>
      <c r="F58" s="16" t="s">
        <v>169</v>
      </c>
      <c r="G58" s="21">
        <v>46290</v>
      </c>
      <c r="H58" s="16" t="s">
        <v>801</v>
      </c>
    </row>
    <row r="59" ht="82" customHeight="1" spans="1:8" x14ac:dyDescent="0.25">
      <c r="A59" s="17" t="s">
        <v>590</v>
      </c>
      <c r="B59" s="17" t="s">
        <v>802</v>
      </c>
      <c r="C59" s="16" t="s">
        <v>803</v>
      </c>
      <c r="D59" s="16" t="s">
        <v>161</v>
      </c>
      <c r="E59" s="16" t="s">
        <v>804</v>
      </c>
      <c r="F59" s="16" t="s">
        <v>170</v>
      </c>
      <c r="G59" s="21">
        <v>46290</v>
      </c>
      <c r="H59" s="16" t="s">
        <v>805</v>
      </c>
    </row>
    <row r="60" ht="82" customHeight="1" spans="1:8" x14ac:dyDescent="0.25">
      <c r="A60" s="17" t="s">
        <v>600</v>
      </c>
      <c r="B60" s="17" t="s">
        <v>371</v>
      </c>
      <c r="C60" s="16" t="s">
        <v>708</v>
      </c>
      <c r="D60" s="16" t="s">
        <v>172</v>
      </c>
      <c r="E60" s="16" t="s">
        <v>800</v>
      </c>
      <c r="F60" s="16" t="s">
        <v>178</v>
      </c>
      <c r="G60" s="21">
        <v>46290</v>
      </c>
      <c r="H60" s="16" t="s">
        <v>801</v>
      </c>
    </row>
    <row r="61" ht="82" customHeight="1" spans="1:8" x14ac:dyDescent="0.25">
      <c r="A61" s="17" t="s">
        <v>601</v>
      </c>
      <c r="B61" s="17" t="s">
        <v>802</v>
      </c>
      <c r="C61" s="16" t="s">
        <v>803</v>
      </c>
      <c r="D61" s="16" t="s">
        <v>172</v>
      </c>
      <c r="E61" s="16" t="s">
        <v>804</v>
      </c>
      <c r="F61" s="16" t="s">
        <v>179</v>
      </c>
      <c r="G61" s="21">
        <v>46290</v>
      </c>
      <c r="H61" s="16" t="s">
        <v>805</v>
      </c>
    </row>
    <row r="62" ht="82" customHeight="1" spans="1:8" x14ac:dyDescent="0.25">
      <c r="A62" s="17" t="s">
        <v>617</v>
      </c>
      <c r="B62" s="17" t="s">
        <v>371</v>
      </c>
      <c r="C62" s="16" t="s">
        <v>708</v>
      </c>
      <c r="D62" s="16" t="s">
        <v>181</v>
      </c>
      <c r="E62" s="16" t="s">
        <v>800</v>
      </c>
      <c r="F62" s="16" t="s">
        <v>188</v>
      </c>
      <c r="G62" s="21">
        <v>46290</v>
      </c>
      <c r="H62" s="16" t="s">
        <v>801</v>
      </c>
    </row>
    <row r="63" ht="82" customHeight="1" spans="1:8" x14ac:dyDescent="0.25">
      <c r="A63" s="17" t="s">
        <v>618</v>
      </c>
      <c r="B63" s="17" t="s">
        <v>802</v>
      </c>
      <c r="C63" s="16" t="s">
        <v>803</v>
      </c>
      <c r="D63" s="16" t="s">
        <v>181</v>
      </c>
      <c r="E63" s="16" t="s">
        <v>804</v>
      </c>
      <c r="F63" s="16" t="s">
        <v>189</v>
      </c>
      <c r="G63" s="21">
        <v>46290</v>
      </c>
      <c r="H63" s="16" t="s">
        <v>805</v>
      </c>
    </row>
    <row r="64" ht="82" customHeight="1" spans="1:8" x14ac:dyDescent="0.25">
      <c r="A64" s="17" t="s">
        <v>623</v>
      </c>
      <c r="B64" s="17" t="s">
        <v>371</v>
      </c>
      <c r="C64" s="16" t="s">
        <v>708</v>
      </c>
      <c r="D64" s="16" t="s">
        <v>191</v>
      </c>
      <c r="E64" s="16" t="s">
        <v>800</v>
      </c>
      <c r="F64" s="16" t="s">
        <v>196</v>
      </c>
      <c r="G64" s="21">
        <v>46290</v>
      </c>
      <c r="H64" s="16" t="s">
        <v>801</v>
      </c>
    </row>
    <row r="65" ht="82" customHeight="1" spans="1:8" x14ac:dyDescent="0.25">
      <c r="A65" s="17" t="s">
        <v>624</v>
      </c>
      <c r="B65" s="17" t="s">
        <v>802</v>
      </c>
      <c r="C65" s="16" t="s">
        <v>803</v>
      </c>
      <c r="D65" s="16" t="s">
        <v>191</v>
      </c>
      <c r="E65" s="16" t="s">
        <v>804</v>
      </c>
      <c r="F65" s="16" t="s">
        <v>197</v>
      </c>
      <c r="G65" s="21">
        <v>46290</v>
      </c>
      <c r="H65" s="16" t="s">
        <v>805</v>
      </c>
    </row>
    <row r="66" ht="82" customHeight="1" spans="1:8" x14ac:dyDescent="0.25">
      <c r="A66" s="17" t="s">
        <v>351</v>
      </c>
      <c r="B66" s="17" t="s">
        <v>371</v>
      </c>
      <c r="C66" s="16" t="s">
        <v>708</v>
      </c>
      <c r="D66" s="16" t="s">
        <v>199</v>
      </c>
      <c r="E66" s="16" t="s">
        <v>800</v>
      </c>
      <c r="F66" s="16" t="s">
        <v>205</v>
      </c>
      <c r="G66" s="21">
        <v>46290</v>
      </c>
      <c r="H66" s="16" t="s">
        <v>801</v>
      </c>
    </row>
    <row r="67" ht="82" customHeight="1" spans="1:8" x14ac:dyDescent="0.25">
      <c r="A67" s="17" t="s">
        <v>631</v>
      </c>
      <c r="B67" s="17" t="s">
        <v>802</v>
      </c>
      <c r="C67" s="16" t="s">
        <v>803</v>
      </c>
      <c r="D67" s="16" t="s">
        <v>199</v>
      </c>
      <c r="E67" s="16" t="s">
        <v>804</v>
      </c>
      <c r="F67" s="16" t="s">
        <v>206</v>
      </c>
      <c r="G67" s="21">
        <v>46290</v>
      </c>
      <c r="H67" s="16" t="s">
        <v>805</v>
      </c>
    </row>
    <row r="68" ht="82" customHeight="1" spans="1:8" x14ac:dyDescent="0.25">
      <c r="A68" s="17" t="s">
        <v>633</v>
      </c>
      <c r="B68" s="17" t="s">
        <v>371</v>
      </c>
      <c r="C68" s="16" t="s">
        <v>708</v>
      </c>
      <c r="D68" s="16" t="s">
        <v>208</v>
      </c>
      <c r="E68" s="16" t="s">
        <v>800</v>
      </c>
      <c r="F68" s="16" t="s">
        <v>214</v>
      </c>
      <c r="G68" s="21">
        <v>46290</v>
      </c>
      <c r="H68" s="16" t="s">
        <v>801</v>
      </c>
    </row>
    <row r="69" ht="82" customHeight="1" spans="1:8" x14ac:dyDescent="0.25">
      <c r="A69" s="17" t="s">
        <v>634</v>
      </c>
      <c r="B69" s="17" t="s">
        <v>802</v>
      </c>
      <c r="C69" s="16" t="s">
        <v>803</v>
      </c>
      <c r="D69" s="16" t="s">
        <v>208</v>
      </c>
      <c r="E69" s="16" t="s">
        <v>804</v>
      </c>
      <c r="F69" s="16" t="s">
        <v>215</v>
      </c>
      <c r="G69" s="21">
        <v>46290</v>
      </c>
      <c r="H69" s="16" t="s">
        <v>805</v>
      </c>
    </row>
    <row r="70" ht="82" customHeight="1" spans="1:8" x14ac:dyDescent="0.25">
      <c r="A70" s="17" t="s">
        <v>638</v>
      </c>
      <c r="B70" s="17" t="s">
        <v>371</v>
      </c>
      <c r="C70" s="16" t="s">
        <v>708</v>
      </c>
      <c r="D70" s="16" t="s">
        <v>217</v>
      </c>
      <c r="E70" s="16" t="s">
        <v>800</v>
      </c>
      <c r="F70" s="16" t="s">
        <v>223</v>
      </c>
      <c r="G70" s="21">
        <v>46290</v>
      </c>
      <c r="H70" s="16" t="s">
        <v>801</v>
      </c>
    </row>
    <row r="71" ht="82" customHeight="1" spans="1:8" x14ac:dyDescent="0.25">
      <c r="A71" s="17" t="s">
        <v>639</v>
      </c>
      <c r="B71" s="17" t="s">
        <v>802</v>
      </c>
      <c r="C71" s="16" t="s">
        <v>803</v>
      </c>
      <c r="D71" s="16" t="s">
        <v>217</v>
      </c>
      <c r="E71" s="16" t="s">
        <v>804</v>
      </c>
      <c r="F71" s="16" t="s">
        <v>224</v>
      </c>
      <c r="G71" s="21">
        <v>46290</v>
      </c>
      <c r="H71" s="16" t="s">
        <v>805</v>
      </c>
    </row>
    <row r="72" ht="82" customHeight="1" spans="1:8" x14ac:dyDescent="0.25">
      <c r="A72" s="17" t="s">
        <v>643</v>
      </c>
      <c r="B72" s="17" t="s">
        <v>371</v>
      </c>
      <c r="C72" s="16" t="s">
        <v>708</v>
      </c>
      <c r="D72" s="16" t="s">
        <v>226</v>
      </c>
      <c r="E72" s="16" t="s">
        <v>800</v>
      </c>
      <c r="F72" s="16" t="s">
        <v>231</v>
      </c>
      <c r="G72" s="21">
        <v>46290</v>
      </c>
      <c r="H72" s="16" t="s">
        <v>801</v>
      </c>
    </row>
    <row r="73" ht="82" customHeight="1" spans="1:8" x14ac:dyDescent="0.25">
      <c r="A73" s="17" t="s">
        <v>644</v>
      </c>
      <c r="B73" s="17" t="s">
        <v>802</v>
      </c>
      <c r="C73" s="16" t="s">
        <v>803</v>
      </c>
      <c r="D73" s="16" t="s">
        <v>226</v>
      </c>
      <c r="E73" s="16" t="s">
        <v>804</v>
      </c>
      <c r="F73" s="16" t="s">
        <v>232</v>
      </c>
      <c r="G73" s="21">
        <v>46290</v>
      </c>
      <c r="H73" s="16" t="s">
        <v>805</v>
      </c>
    </row>
    <row r="74" ht="82" customHeight="1" spans="1:8" x14ac:dyDescent="0.25">
      <c r="A74" s="17" t="s">
        <v>648</v>
      </c>
      <c r="B74" s="17" t="s">
        <v>371</v>
      </c>
      <c r="C74" s="16" t="s">
        <v>708</v>
      </c>
      <c r="D74" s="16" t="s">
        <v>234</v>
      </c>
      <c r="E74" s="16" t="s">
        <v>800</v>
      </c>
      <c r="F74" s="16" t="s">
        <v>239</v>
      </c>
      <c r="G74" s="21">
        <v>46290</v>
      </c>
      <c r="H74" s="16" t="s">
        <v>801</v>
      </c>
    </row>
    <row r="75" ht="82" customHeight="1" spans="1:8" x14ac:dyDescent="0.25">
      <c r="A75" s="17" t="s">
        <v>649</v>
      </c>
      <c r="B75" s="17" t="s">
        <v>802</v>
      </c>
      <c r="C75" s="16" t="s">
        <v>803</v>
      </c>
      <c r="D75" s="16" t="s">
        <v>234</v>
      </c>
      <c r="E75" s="16" t="s">
        <v>804</v>
      </c>
      <c r="F75" s="16" t="s">
        <v>240</v>
      </c>
      <c r="G75" s="21">
        <v>46290</v>
      </c>
      <c r="H75" s="16" t="s">
        <v>805</v>
      </c>
    </row>
    <row r="76" ht="82" customHeight="1" spans="1:8" x14ac:dyDescent="0.25">
      <c r="A76" s="17" t="s">
        <v>370</v>
      </c>
      <c r="B76" s="17" t="s">
        <v>371</v>
      </c>
      <c r="C76" s="16" t="s">
        <v>708</v>
      </c>
      <c r="D76" s="16" t="s">
        <v>242</v>
      </c>
      <c r="E76" s="16" t="s">
        <v>800</v>
      </c>
      <c r="F76" s="16" t="s">
        <v>248</v>
      </c>
      <c r="G76" s="21">
        <v>46290</v>
      </c>
      <c r="H76" s="16" t="s">
        <v>801</v>
      </c>
    </row>
    <row r="77" ht="82" customHeight="1" spans="1:8" x14ac:dyDescent="0.25">
      <c r="A77" s="17" t="s">
        <v>653</v>
      </c>
      <c r="B77" s="17" t="s">
        <v>802</v>
      </c>
      <c r="C77" s="16" t="s">
        <v>803</v>
      </c>
      <c r="D77" s="16" t="s">
        <v>242</v>
      </c>
      <c r="E77" s="16" t="s">
        <v>804</v>
      </c>
      <c r="F77" s="16" t="s">
        <v>249</v>
      </c>
      <c r="G77" s="21">
        <v>46290</v>
      </c>
      <c r="H77" s="16" t="s">
        <v>805</v>
      </c>
    </row>
    <row r="78" ht="82" customHeight="1" spans="1:8" x14ac:dyDescent="0.25">
      <c r="A78" s="17" t="s">
        <v>662</v>
      </c>
      <c r="B78" s="17" t="s">
        <v>371</v>
      </c>
      <c r="C78" s="16" t="s">
        <v>708</v>
      </c>
      <c r="D78" s="16" t="s">
        <v>251</v>
      </c>
      <c r="E78" s="16" t="s">
        <v>800</v>
      </c>
      <c r="F78" s="16" t="s">
        <v>258</v>
      </c>
      <c r="G78" s="21">
        <v>46290</v>
      </c>
      <c r="H78" s="16" t="s">
        <v>801</v>
      </c>
    </row>
    <row r="79" ht="82" customHeight="1" spans="1:8" x14ac:dyDescent="0.25">
      <c r="A79" s="17" t="s">
        <v>663</v>
      </c>
      <c r="B79" s="17" t="s">
        <v>802</v>
      </c>
      <c r="C79" s="16" t="s">
        <v>803</v>
      </c>
      <c r="D79" s="16" t="s">
        <v>251</v>
      </c>
      <c r="E79" s="16" t="s">
        <v>804</v>
      </c>
      <c r="F79" s="16" t="s">
        <v>259</v>
      </c>
      <c r="G79" s="21">
        <v>46290</v>
      </c>
      <c r="H79" s="16" t="s">
        <v>805</v>
      </c>
    </row>
    <row r="80" ht="82" customHeight="1" spans="1:8" x14ac:dyDescent="0.25">
      <c r="A80" s="17" t="s">
        <v>665</v>
      </c>
      <c r="B80" s="17" t="s">
        <v>371</v>
      </c>
      <c r="C80" s="16" t="s">
        <v>708</v>
      </c>
      <c r="D80" s="16" t="s">
        <v>261</v>
      </c>
      <c r="E80" s="16" t="s">
        <v>800</v>
      </c>
      <c r="F80" s="16" t="s">
        <v>268</v>
      </c>
      <c r="G80" s="21">
        <v>46290</v>
      </c>
      <c r="H80" s="16" t="s">
        <v>801</v>
      </c>
    </row>
    <row r="81" ht="82" customHeight="1" spans="1:8" x14ac:dyDescent="0.25">
      <c r="A81" s="17" t="s">
        <v>666</v>
      </c>
      <c r="B81" s="17" t="s">
        <v>802</v>
      </c>
      <c r="C81" s="16" t="s">
        <v>803</v>
      </c>
      <c r="D81" s="16" t="s">
        <v>261</v>
      </c>
      <c r="E81" s="16" t="s">
        <v>804</v>
      </c>
      <c r="F81" s="16" t="s">
        <v>269</v>
      </c>
      <c r="G81" s="21">
        <v>46290</v>
      </c>
      <c r="H81" s="16" t="s">
        <v>805</v>
      </c>
    </row>
    <row r="82" ht="82" customHeight="1" spans="1:8" x14ac:dyDescent="0.25">
      <c r="A82" s="17" t="s">
        <v>806</v>
      </c>
      <c r="B82" s="17" t="s">
        <v>807</v>
      </c>
      <c r="C82" s="16" t="s">
        <v>808</v>
      </c>
      <c r="D82" s="16" t="s">
        <v>809</v>
      </c>
      <c r="E82" s="16" t="s">
        <v>810</v>
      </c>
      <c r="F82" s="16" t="s">
        <v>811</v>
      </c>
      <c r="G82" s="21">
        <v>46290</v>
      </c>
      <c r="H82" s="16"/>
    </row>
    <row r="83" ht="82" customHeight="1" spans="1:8" x14ac:dyDescent="0.25">
      <c r="A83" s="17" t="s">
        <v>812</v>
      </c>
      <c r="B83" s="17" t="s">
        <v>807</v>
      </c>
      <c r="C83" s="16" t="s">
        <v>808</v>
      </c>
      <c r="D83" s="16" t="s">
        <v>809</v>
      </c>
      <c r="E83" s="16" t="s">
        <v>813</v>
      </c>
      <c r="F83" s="16" t="s">
        <v>814</v>
      </c>
      <c r="G83" s="21">
        <v>46290</v>
      </c>
      <c r="H83" s="16"/>
    </row>
    <row r="84" ht="82" customHeight="1" spans="1:8" x14ac:dyDescent="0.25">
      <c r="A84" s="17" t="s">
        <v>583</v>
      </c>
      <c r="B84" s="17" t="s">
        <v>787</v>
      </c>
      <c r="C84" s="16" t="s">
        <v>815</v>
      </c>
      <c r="D84" s="16" t="s">
        <v>139</v>
      </c>
      <c r="E84" s="16" t="s">
        <v>816</v>
      </c>
      <c r="F84" s="16" t="s">
        <v>584</v>
      </c>
      <c r="G84" s="21">
        <v>46290</v>
      </c>
      <c r="H84" s="16" t="s">
        <v>817</v>
      </c>
    </row>
    <row r="85" ht="82" customHeight="1" spans="1:8" x14ac:dyDescent="0.25">
      <c r="A85" s="17" t="s">
        <v>673</v>
      </c>
      <c r="B85" s="17" t="s">
        <v>368</v>
      </c>
      <c r="C85" s="16" t="s">
        <v>472</v>
      </c>
      <c r="D85" s="16" t="s">
        <v>172</v>
      </c>
      <c r="E85" s="16" t="s">
        <v>818</v>
      </c>
      <c r="F85" s="16" t="s">
        <v>674</v>
      </c>
      <c r="G85" s="21">
        <v>46290</v>
      </c>
      <c r="H85" s="16" t="s">
        <v>819</v>
      </c>
    </row>
    <row r="86" ht="82" customHeight="1" spans="1:8" x14ac:dyDescent="0.25">
      <c r="A86" s="17" t="s">
        <v>677</v>
      </c>
      <c r="B86" s="17" t="s">
        <v>820</v>
      </c>
      <c r="C86" s="16" t="s">
        <v>425</v>
      </c>
      <c r="D86" s="16" t="s">
        <v>199</v>
      </c>
      <c r="E86" s="16" t="s">
        <v>821</v>
      </c>
      <c r="F86" s="16" t="s">
        <v>678</v>
      </c>
      <c r="G86" s="21">
        <v>46290</v>
      </c>
      <c r="H86" s="16" t="s">
        <v>822</v>
      </c>
    </row>
    <row r="87" ht="82" customHeight="1" spans="1:8" x14ac:dyDescent="0.25">
      <c r="A87" s="17" t="s">
        <v>682</v>
      </c>
      <c r="B87" s="17" t="s">
        <v>823</v>
      </c>
      <c r="C87" s="16" t="s">
        <v>824</v>
      </c>
      <c r="D87" s="16" t="s">
        <v>199</v>
      </c>
      <c r="E87" s="16" t="s">
        <v>825</v>
      </c>
      <c r="F87" s="16" t="s">
        <v>683</v>
      </c>
      <c r="G87" s="21">
        <v>46290</v>
      </c>
      <c r="H87" s="16" t="s">
        <v>826</v>
      </c>
    </row>
    <row r="88" ht="82" customHeight="1" spans="1:8" x14ac:dyDescent="0.25">
      <c r="A88" s="17" t="s">
        <v>686</v>
      </c>
      <c r="B88" s="17" t="s">
        <v>827</v>
      </c>
      <c r="C88" s="16" t="s">
        <v>462</v>
      </c>
      <c r="D88" s="16" t="s">
        <v>181</v>
      </c>
      <c r="E88" s="16" t="s">
        <v>828</v>
      </c>
      <c r="F88" s="16" t="s">
        <v>687</v>
      </c>
      <c r="G88" s="21">
        <v>46290</v>
      </c>
      <c r="H88" s="16" t="s">
        <v>829</v>
      </c>
    </row>
    <row r="89" ht="82" customHeight="1" spans="1:8" x14ac:dyDescent="0.25">
      <c r="A89" s="17" t="s">
        <v>693</v>
      </c>
      <c r="B89" s="17" t="s">
        <v>749</v>
      </c>
      <c r="C89" s="16" t="s">
        <v>803</v>
      </c>
      <c r="D89" s="16" t="s">
        <v>181</v>
      </c>
      <c r="E89" s="16" t="s">
        <v>830</v>
      </c>
      <c r="F89" s="16" t="s">
        <v>694</v>
      </c>
      <c r="G89" s="21">
        <v>46290</v>
      </c>
      <c r="H89" s="16" t="s">
        <v>831</v>
      </c>
    </row>
  </sheetData>
  <mergeCells count="2">
    <mergeCell ref="A1:H1"/>
    <mergeCell ref="A2:H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FormatPr defaultRowHeight="15" outlineLevelRow="0" outlineLevelCol="0" x14ac:dyDescent="0"/>
  <cols>
    <col min="1" max="1" width="13" customWidth="1"/>
    <col min="2" max="2" width="28" customWidth="1"/>
    <col min="3" max="5" width="40" customWidth="1"/>
    <col min="6" max="6" width="15" customWidth="1"/>
    <col min="7" max="7" width="40" customWidth="1"/>
  </cols>
  <sheetData>
    <row r="1" ht="38" customHeight="1" spans="1:7" x14ac:dyDescent="0.25">
      <c r="A1" s="14" t="s">
        <v>832</v>
      </c>
      <c r="B1" s="14"/>
      <c r="C1" s="14"/>
      <c r="D1" s="14"/>
      <c r="E1" s="14"/>
      <c r="F1" s="14"/>
      <c r="G1" s="14"/>
    </row>
    <row r="2" ht="36" customHeight="1" spans="1:7" x14ac:dyDescent="0.25">
      <c r="A2" s="15" t="s">
        <v>833</v>
      </c>
      <c r="B2" s="15"/>
      <c r="C2" s="15"/>
      <c r="D2" s="15"/>
      <c r="E2" s="15"/>
      <c r="F2" s="15"/>
      <c r="G2" s="15"/>
    </row>
    <row r="3" ht="9" customHeight="1" spans="1:7" x14ac:dyDescent="0.25">
      <c r="A3" s="16"/>
      <c r="B3" s="16"/>
      <c r="C3" s="16"/>
      <c r="D3" s="16"/>
      <c r="E3" s="16"/>
      <c r="F3" s="16"/>
      <c r="G3" s="16"/>
    </row>
    <row r="4" ht="36" customHeight="1" spans="1:7" x14ac:dyDescent="0.25">
      <c r="A4" s="4" t="s">
        <v>834</v>
      </c>
      <c r="B4" s="4" t="s">
        <v>835</v>
      </c>
      <c r="C4" s="4" t="s">
        <v>836</v>
      </c>
      <c r="D4" s="4" t="s">
        <v>837</v>
      </c>
      <c r="E4" s="4" t="s">
        <v>838</v>
      </c>
      <c r="F4" s="4" t="s">
        <v>839</v>
      </c>
      <c r="G4" s="4" t="s">
        <v>840</v>
      </c>
    </row>
    <row r="5" ht="84" customHeight="1" spans="1:7" x14ac:dyDescent="0.25">
      <c r="A5" s="17" t="s">
        <v>841</v>
      </c>
      <c r="B5" s="17" t="s">
        <v>842</v>
      </c>
      <c r="C5" s="16" t="s">
        <v>843</v>
      </c>
      <c r="D5" s="16" t="s">
        <v>844</v>
      </c>
      <c r="E5" s="16" t="s">
        <v>845</v>
      </c>
      <c r="F5" s="16" t="s">
        <v>846</v>
      </c>
      <c r="G5" s="16" t="s">
        <v>847</v>
      </c>
    </row>
    <row r="6" ht="84" customHeight="1" spans="1:7" x14ac:dyDescent="0.25">
      <c r="A6" s="17" t="s">
        <v>841</v>
      </c>
      <c r="B6" s="17" t="s">
        <v>848</v>
      </c>
      <c r="C6" s="16" t="s">
        <v>849</v>
      </c>
      <c r="D6" s="16" t="s">
        <v>850</v>
      </c>
      <c r="E6" s="16" t="s">
        <v>851</v>
      </c>
      <c r="F6" s="16" t="s">
        <v>846</v>
      </c>
      <c r="G6" s="16" t="s">
        <v>147</v>
      </c>
    </row>
    <row r="7" ht="84" customHeight="1" spans="1:7" x14ac:dyDescent="0.25">
      <c r="A7" s="17" t="s">
        <v>852</v>
      </c>
      <c r="B7" s="17" t="s">
        <v>766</v>
      </c>
      <c r="C7" s="16" t="s">
        <v>853</v>
      </c>
      <c r="D7" s="16" t="s">
        <v>854</v>
      </c>
      <c r="E7" s="16" t="s">
        <v>855</v>
      </c>
      <c r="F7" s="16" t="s">
        <v>846</v>
      </c>
      <c r="G7" s="16" t="s">
        <v>268</v>
      </c>
    </row>
    <row r="8" ht="84" customHeight="1" spans="1:7" x14ac:dyDescent="0.25">
      <c r="A8" s="17" t="s">
        <v>852</v>
      </c>
      <c r="B8" s="17" t="s">
        <v>856</v>
      </c>
      <c r="C8" s="16" t="s">
        <v>857</v>
      </c>
      <c r="D8" s="16" t="s">
        <v>858</v>
      </c>
      <c r="E8" s="16" t="s">
        <v>859</v>
      </c>
      <c r="F8" s="16" t="s">
        <v>846</v>
      </c>
      <c r="G8" s="16" t="s">
        <v>593</v>
      </c>
    </row>
    <row r="9" ht="84" customHeight="1" spans="1:7" x14ac:dyDescent="0.25">
      <c r="A9" s="17" t="s">
        <v>852</v>
      </c>
      <c r="B9" s="17" t="s">
        <v>860</v>
      </c>
      <c r="C9" s="16" t="s">
        <v>861</v>
      </c>
      <c r="D9" s="16" t="s">
        <v>862</v>
      </c>
      <c r="E9" s="16" t="s">
        <v>863</v>
      </c>
      <c r="F9" s="16" t="s">
        <v>846</v>
      </c>
      <c r="G9" s="16" t="s">
        <v>240</v>
      </c>
    </row>
    <row r="10" ht="84" customHeight="1" spans="1:7" x14ac:dyDescent="0.25">
      <c r="A10" s="17" t="s">
        <v>852</v>
      </c>
      <c r="B10" s="17" t="s">
        <v>864</v>
      </c>
      <c r="C10" s="16" t="s">
        <v>865</v>
      </c>
      <c r="D10" s="16" t="s">
        <v>866</v>
      </c>
      <c r="E10" s="16" t="s">
        <v>867</v>
      </c>
      <c r="F10" s="16" t="s">
        <v>846</v>
      </c>
      <c r="G10" s="16" t="s">
        <v>659</v>
      </c>
    </row>
    <row r="11" ht="84" customHeight="1" spans="1:7" x14ac:dyDescent="0.25">
      <c r="A11" s="17" t="s">
        <v>852</v>
      </c>
      <c r="B11" s="17" t="s">
        <v>868</v>
      </c>
      <c r="C11" s="16" t="s">
        <v>869</v>
      </c>
      <c r="D11" s="16" t="s">
        <v>870</v>
      </c>
      <c r="E11" s="16" t="s">
        <v>871</v>
      </c>
      <c r="F11" s="16" t="s">
        <v>846</v>
      </c>
      <c r="G11" s="16" t="s">
        <v>69</v>
      </c>
    </row>
    <row r="12" ht="84" customHeight="1" spans="1:7" x14ac:dyDescent="0.25">
      <c r="A12" s="17" t="s">
        <v>852</v>
      </c>
      <c r="B12" s="17" t="s">
        <v>872</v>
      </c>
      <c r="C12" s="16" t="s">
        <v>873</v>
      </c>
      <c r="D12" s="16" t="s">
        <v>874</v>
      </c>
      <c r="E12" s="16" t="s">
        <v>875</v>
      </c>
      <c r="F12" s="16" t="s">
        <v>846</v>
      </c>
      <c r="G12" s="16" t="s">
        <v>136</v>
      </c>
    </row>
    <row r="13" ht="84" customHeight="1" spans="1:7" x14ac:dyDescent="0.25">
      <c r="A13" s="17" t="s">
        <v>852</v>
      </c>
      <c r="B13" s="17" t="s">
        <v>876</v>
      </c>
      <c r="C13" s="16" t="s">
        <v>877</v>
      </c>
      <c r="D13" s="16" t="s">
        <v>874</v>
      </c>
      <c r="E13" s="16" t="s">
        <v>875</v>
      </c>
      <c r="F13" s="16" t="s">
        <v>846</v>
      </c>
      <c r="G13" s="16" t="s">
        <v>188</v>
      </c>
    </row>
    <row r="14" ht="84" customHeight="1" spans="1:7" x14ac:dyDescent="0.25">
      <c r="A14" s="17" t="s">
        <v>852</v>
      </c>
      <c r="B14" s="17" t="s">
        <v>764</v>
      </c>
      <c r="C14" s="16" t="s">
        <v>878</v>
      </c>
      <c r="D14" s="16" t="s">
        <v>879</v>
      </c>
      <c r="E14" s="16" t="s">
        <v>880</v>
      </c>
      <c r="F14" s="16" t="s">
        <v>846</v>
      </c>
      <c r="G14" s="16" t="s">
        <v>474</v>
      </c>
    </row>
    <row r="15" ht="84" customHeight="1" spans="1:7" x14ac:dyDescent="0.25">
      <c r="A15" s="17" t="s">
        <v>852</v>
      </c>
      <c r="B15" s="17" t="s">
        <v>881</v>
      </c>
      <c r="C15" s="16" t="s">
        <v>882</v>
      </c>
      <c r="D15" s="16" t="s">
        <v>883</v>
      </c>
      <c r="E15" s="16" t="s">
        <v>884</v>
      </c>
      <c r="F15" s="16" t="s">
        <v>846</v>
      </c>
      <c r="G15" s="16" t="s">
        <v>885</v>
      </c>
    </row>
    <row r="16" ht="84" customHeight="1" spans="1:7" x14ac:dyDescent="0.25">
      <c r="A16" s="17" t="s">
        <v>852</v>
      </c>
      <c r="B16" s="17" t="s">
        <v>856</v>
      </c>
      <c r="C16" s="16" t="s">
        <v>886</v>
      </c>
      <c r="D16" s="16" t="s">
        <v>887</v>
      </c>
      <c r="E16" s="16" t="s">
        <v>888</v>
      </c>
      <c r="F16" s="16" t="s">
        <v>846</v>
      </c>
      <c r="G16" s="16" t="s">
        <v>170</v>
      </c>
    </row>
    <row r="17" ht="84" customHeight="1" spans="1:7" x14ac:dyDescent="0.25">
      <c r="A17" s="17" t="s">
        <v>852</v>
      </c>
      <c r="B17" s="17" t="s">
        <v>842</v>
      </c>
      <c r="C17" s="16" t="s">
        <v>889</v>
      </c>
      <c r="D17" s="16" t="s">
        <v>890</v>
      </c>
      <c r="E17" s="16" t="s">
        <v>891</v>
      </c>
      <c r="F17" s="16" t="s">
        <v>846</v>
      </c>
      <c r="G17" s="16" t="s">
        <v>892</v>
      </c>
    </row>
    <row r="18" ht="84" customHeight="1" spans="1:7" x14ac:dyDescent="0.25">
      <c r="A18" s="17" t="s">
        <v>852</v>
      </c>
      <c r="B18" s="17" t="s">
        <v>842</v>
      </c>
      <c r="C18" s="16" t="s">
        <v>893</v>
      </c>
      <c r="D18" s="16" t="s">
        <v>894</v>
      </c>
      <c r="E18" s="16" t="s">
        <v>895</v>
      </c>
      <c r="F18" s="16" t="s">
        <v>846</v>
      </c>
      <c r="G18" s="16" t="s">
        <v>896</v>
      </c>
    </row>
    <row r="19" ht="84" customHeight="1" spans="1:7" x14ac:dyDescent="0.25">
      <c r="A19" s="17" t="s">
        <v>852</v>
      </c>
      <c r="B19" s="17" t="s">
        <v>842</v>
      </c>
      <c r="C19" s="16" t="s">
        <v>897</v>
      </c>
      <c r="D19" s="16" t="s">
        <v>898</v>
      </c>
      <c r="E19" s="16" t="s">
        <v>899</v>
      </c>
      <c r="F19" s="16" t="s">
        <v>846</v>
      </c>
      <c r="G19" s="16" t="s">
        <v>11</v>
      </c>
    </row>
    <row r="20" ht="84" customHeight="1" spans="1:7" x14ac:dyDescent="0.25">
      <c r="A20" s="17" t="s">
        <v>900</v>
      </c>
      <c r="B20" s="17" t="s">
        <v>842</v>
      </c>
      <c r="C20" s="16" t="s">
        <v>901</v>
      </c>
      <c r="D20" s="16" t="s">
        <v>902</v>
      </c>
      <c r="E20" s="16" t="s">
        <v>903</v>
      </c>
      <c r="F20" s="16" t="s">
        <v>846</v>
      </c>
      <c r="G20" s="16" t="s">
        <v>17</v>
      </c>
    </row>
    <row r="21" ht="84" customHeight="1" spans="1:7" x14ac:dyDescent="0.25">
      <c r="A21" s="17" t="s">
        <v>900</v>
      </c>
      <c r="B21" s="17" t="s">
        <v>868</v>
      </c>
      <c r="C21" s="16" t="s">
        <v>904</v>
      </c>
      <c r="D21" s="16" t="s">
        <v>905</v>
      </c>
      <c r="E21" s="16" t="s">
        <v>906</v>
      </c>
      <c r="F21" s="16" t="s">
        <v>846</v>
      </c>
      <c r="G21" s="16" t="s">
        <v>426</v>
      </c>
    </row>
    <row r="22" ht="84" customHeight="1" spans="1:7" x14ac:dyDescent="0.25">
      <c r="A22" s="17" t="s">
        <v>900</v>
      </c>
      <c r="B22" s="17" t="s">
        <v>907</v>
      </c>
      <c r="C22" s="16" t="s">
        <v>908</v>
      </c>
      <c r="D22" s="16" t="s">
        <v>909</v>
      </c>
      <c r="E22" s="16" t="s">
        <v>910</v>
      </c>
      <c r="F22" s="16" t="s">
        <v>846</v>
      </c>
      <c r="G22" s="16" t="s">
        <v>463</v>
      </c>
    </row>
    <row r="23" ht="84" customHeight="1" spans="1:7" x14ac:dyDescent="0.25">
      <c r="A23" s="17" t="s">
        <v>900</v>
      </c>
      <c r="B23" s="17" t="s">
        <v>911</v>
      </c>
      <c r="C23" s="16" t="s">
        <v>912</v>
      </c>
      <c r="D23" s="16" t="s">
        <v>913</v>
      </c>
      <c r="E23" s="16" t="s">
        <v>914</v>
      </c>
      <c r="F23" s="16" t="s">
        <v>846</v>
      </c>
      <c r="G23" s="16" t="s">
        <v>15</v>
      </c>
    </row>
    <row r="24" ht="84" customHeight="1" spans="1:7" x14ac:dyDescent="0.25">
      <c r="A24" s="17" t="s">
        <v>900</v>
      </c>
      <c r="B24" s="17" t="s">
        <v>915</v>
      </c>
      <c r="C24" s="16" t="s">
        <v>916</v>
      </c>
      <c r="D24" s="16" t="s">
        <v>917</v>
      </c>
      <c r="E24" s="16" t="s">
        <v>918</v>
      </c>
      <c r="F24" s="16" t="s">
        <v>846</v>
      </c>
      <c r="G24" s="16" t="s">
        <v>116</v>
      </c>
    </row>
    <row r="25" ht="84" customHeight="1" spans="1:7" x14ac:dyDescent="0.25">
      <c r="A25" s="17" t="s">
        <v>900</v>
      </c>
      <c r="B25" s="17" t="s">
        <v>842</v>
      </c>
      <c r="C25" s="16" t="s">
        <v>919</v>
      </c>
      <c r="D25" s="16" t="s">
        <v>920</v>
      </c>
      <c r="E25" s="16" t="s">
        <v>921</v>
      </c>
      <c r="F25" s="16" t="s">
        <v>846</v>
      </c>
      <c r="G25" s="16" t="s">
        <v>922</v>
      </c>
    </row>
    <row r="26" ht="84" customHeight="1" spans="1:7" x14ac:dyDescent="0.25">
      <c r="A26" s="17" t="s">
        <v>900</v>
      </c>
      <c r="B26" s="17" t="s">
        <v>923</v>
      </c>
      <c r="C26" s="16" t="s">
        <v>924</v>
      </c>
      <c r="D26" s="16" t="s">
        <v>925</v>
      </c>
      <c r="E26" s="16" t="s">
        <v>926</v>
      </c>
      <c r="F26" s="16" t="s">
        <v>846</v>
      </c>
      <c r="G26" s="16" t="s">
        <v>711</v>
      </c>
    </row>
    <row r="27" ht="84" customHeight="1" spans="1:7" x14ac:dyDescent="0.25">
      <c r="A27" s="17" t="s">
        <v>852</v>
      </c>
      <c r="B27" s="17" t="s">
        <v>876</v>
      </c>
      <c r="C27" s="16" t="s">
        <v>927</v>
      </c>
      <c r="D27" s="16" t="s">
        <v>928</v>
      </c>
      <c r="E27" s="16" t="s">
        <v>845</v>
      </c>
      <c r="F27" s="16" t="s">
        <v>846</v>
      </c>
      <c r="G27" s="16" t="s">
        <v>694</v>
      </c>
    </row>
    <row r="28" ht="84" customHeight="1" spans="1:7" x14ac:dyDescent="0.25">
      <c r="A28" s="17" t="s">
        <v>900</v>
      </c>
      <c r="B28" s="17" t="s">
        <v>872</v>
      </c>
      <c r="C28" s="16" t="s">
        <v>929</v>
      </c>
      <c r="D28" s="16" t="s">
        <v>930</v>
      </c>
      <c r="E28" s="16" t="s">
        <v>855</v>
      </c>
      <c r="F28" s="16" t="s">
        <v>846</v>
      </c>
      <c r="G28" s="16" t="s">
        <v>931</v>
      </c>
    </row>
    <row r="29" ht="84" customHeight="1" spans="1:7" x14ac:dyDescent="0.25">
      <c r="A29" s="17" t="s">
        <v>900</v>
      </c>
      <c r="B29" s="17" t="s">
        <v>932</v>
      </c>
      <c r="C29" s="16" t="s">
        <v>933</v>
      </c>
      <c r="D29" s="16" t="s">
        <v>934</v>
      </c>
      <c r="E29" s="16" t="s">
        <v>935</v>
      </c>
      <c r="F29" s="16" t="s">
        <v>846</v>
      </c>
      <c r="G29" s="16" t="s">
        <v>936</v>
      </c>
    </row>
  </sheetData>
  <mergeCells count="2">
    <mergeCell ref="A1:G1"/>
    <mergeCell ref="A2:G2"/>
  </mergeCells>
  <conditionalFormatting sqref="A5:A26">
    <cfRule type="expression" dxfId="2" priority="1">
      <formula>A5="Critical"</formula>
    </cfRule>
  </conditionalFormatting>
  <dataValidations count="2">
    <dataValidation type="list" sqref="F10:F26">
      <formula1>"Open,Evidence received,Verified,Not applicable"</formula1>
    </dataValidation>
    <dataValidation type="list" sqref="F5:F26">
      <formula1>"Open,Evidence received,Verified,Not applicable"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16" customWidth="1"/>
    <col min="3" max="3" width="20" customWidth="1"/>
    <col min="4" max="4" width="22" customWidth="1"/>
    <col min="5" max="5" width="34" customWidth="1"/>
    <col min="6" max="6" width="14" customWidth="1"/>
    <col min="7" max="7" width="26" customWidth="1"/>
    <col min="8" max="8" width="50" customWidth="1"/>
    <col min="9" max="9" width="36" customWidth="1"/>
  </cols>
  <sheetData>
    <row r="1" spans="1:1" x14ac:dyDescent="0.25">
      <c r="A1" s="28" t="s">
        <v>937</v>
      </c>
    </row>
    <row r="2" ht="48" customHeight="1" spans="1:9" x14ac:dyDescent="0.25">
      <c r="A2" s="29" t="s">
        <v>938</v>
      </c>
      <c r="B2" s="29"/>
      <c r="C2" s="29"/>
      <c r="D2" s="29"/>
      <c r="E2" s="29"/>
      <c r="F2" s="29"/>
      <c r="G2" s="29"/>
      <c r="H2" s="29"/>
      <c r="I2" s="29"/>
    </row>
    <row r="4" spans="1:9" x14ac:dyDescent="0.25">
      <c r="A4" s="30" t="s">
        <v>36</v>
      </c>
      <c r="B4" s="30" t="s">
        <v>272</v>
      </c>
      <c r="C4" s="30" t="s">
        <v>483</v>
      </c>
      <c r="D4" s="30" t="s">
        <v>939</v>
      </c>
      <c r="E4" s="30" t="s">
        <v>940</v>
      </c>
      <c r="F4" s="30" t="s">
        <v>941</v>
      </c>
      <c r="G4" s="30" t="s">
        <v>942</v>
      </c>
      <c r="H4" s="30" t="s">
        <v>19</v>
      </c>
      <c r="I4" s="30" t="s">
        <v>943</v>
      </c>
    </row>
    <row r="5" spans="1:9" x14ac:dyDescent="0.25">
      <c r="A5" s="29" t="s">
        <v>138</v>
      </c>
      <c r="B5" s="29" t="s">
        <v>139</v>
      </c>
      <c r="C5" s="29" t="s">
        <v>47</v>
      </c>
      <c r="D5" s="29">
        <v>2894</v>
      </c>
      <c r="E5" s="29">
        <v>2951</v>
      </c>
      <c r="F5" s="29" t="s">
        <v>944</v>
      </c>
      <c r="G5" s="29" t="s">
        <v>945</v>
      </c>
      <c r="H5" s="29" t="s">
        <v>946</v>
      </c>
      <c r="I5" s="29" t="s">
        <v>947</v>
      </c>
    </row>
    <row r="6" spans="1:9" x14ac:dyDescent="0.25">
      <c r="A6" s="29" t="s">
        <v>171</v>
      </c>
      <c r="B6" s="29" t="s">
        <v>172</v>
      </c>
      <c r="C6" s="29" t="s">
        <v>948</v>
      </c>
      <c r="D6" s="29" t="s">
        <v>605</v>
      </c>
      <c r="E6" s="29" t="s">
        <v>338</v>
      </c>
      <c r="F6" s="29" t="s">
        <v>944</v>
      </c>
      <c r="G6" s="29" t="s">
        <v>949</v>
      </c>
      <c r="H6" s="29" t="s">
        <v>950</v>
      </c>
      <c r="I6" s="29" t="s">
        <v>951</v>
      </c>
    </row>
    <row r="7" spans="1:9" x14ac:dyDescent="0.25">
      <c r="A7" s="29" t="s">
        <v>171</v>
      </c>
      <c r="B7" s="29" t="s">
        <v>172</v>
      </c>
      <c r="C7" s="29" t="s">
        <v>278</v>
      </c>
      <c r="D7" s="29" t="s">
        <v>609</v>
      </c>
      <c r="E7" s="29" t="s">
        <v>340</v>
      </c>
      <c r="F7" s="29" t="s">
        <v>944</v>
      </c>
      <c r="G7" s="29" t="s">
        <v>952</v>
      </c>
      <c r="H7" s="29" t="s">
        <v>178</v>
      </c>
      <c r="I7" s="29" t="s">
        <v>953</v>
      </c>
    </row>
    <row r="8" spans="1:9" x14ac:dyDescent="0.25">
      <c r="A8" s="29" t="s">
        <v>198</v>
      </c>
      <c r="B8" s="29" t="s">
        <v>199</v>
      </c>
      <c r="C8" s="29" t="s">
        <v>954</v>
      </c>
      <c r="D8" s="29" t="s">
        <v>630</v>
      </c>
      <c r="E8" s="29" t="s">
        <v>200</v>
      </c>
      <c r="F8" s="29" t="s">
        <v>944</v>
      </c>
      <c r="G8" s="29" t="s">
        <v>955</v>
      </c>
      <c r="H8" s="29" t="s">
        <v>956</v>
      </c>
      <c r="I8" s="29" t="s">
        <v>957</v>
      </c>
    </row>
    <row r="9" spans="1:9" x14ac:dyDescent="0.25">
      <c r="A9" s="29" t="s">
        <v>180</v>
      </c>
      <c r="B9" s="29" t="s">
        <v>181</v>
      </c>
      <c r="C9" s="29" t="s">
        <v>958</v>
      </c>
      <c r="D9" s="29" t="s">
        <v>953</v>
      </c>
      <c r="E9" s="29">
        <v>2020</v>
      </c>
      <c r="F9" s="29" t="s">
        <v>959</v>
      </c>
      <c r="G9" s="29" t="s">
        <v>960</v>
      </c>
      <c r="H9" s="29" t="s">
        <v>687</v>
      </c>
      <c r="I9" s="29" t="s">
        <v>961</v>
      </c>
    </row>
    <row r="10" spans="1:9" x14ac:dyDescent="0.25">
      <c r="A10" s="29" t="s">
        <v>207</v>
      </c>
      <c r="B10" s="29" t="s">
        <v>208</v>
      </c>
      <c r="C10" s="29" t="s">
        <v>958</v>
      </c>
      <c r="D10" s="29" t="s">
        <v>953</v>
      </c>
      <c r="E10" s="29">
        <v>2024</v>
      </c>
      <c r="F10" s="29" t="s">
        <v>959</v>
      </c>
      <c r="G10" s="29" t="s">
        <v>960</v>
      </c>
      <c r="H10" s="29" t="s">
        <v>962</v>
      </c>
      <c r="I10" s="29" t="s">
        <v>953</v>
      </c>
    </row>
    <row r="11" spans="1:9" x14ac:dyDescent="0.25">
      <c r="A11" s="29" t="s">
        <v>180</v>
      </c>
      <c r="B11" s="29" t="s">
        <v>181</v>
      </c>
      <c r="C11" s="29" t="s">
        <v>963</v>
      </c>
      <c r="D11" s="29" t="s">
        <v>964</v>
      </c>
      <c r="E11" s="29" t="s">
        <v>965</v>
      </c>
      <c r="F11" s="29" t="s">
        <v>966</v>
      </c>
      <c r="G11" s="29" t="s">
        <v>967</v>
      </c>
      <c r="H11" s="29" t="s">
        <v>968</v>
      </c>
      <c r="I11" s="29" t="s">
        <v>969</v>
      </c>
    </row>
    <row r="12" spans="1:9" x14ac:dyDescent="0.25">
      <c r="A12" s="29" t="s">
        <v>129</v>
      </c>
      <c r="B12" s="29" t="s">
        <v>130</v>
      </c>
      <c r="C12" s="29" t="s">
        <v>47</v>
      </c>
      <c r="D12" s="29">
        <v>2744</v>
      </c>
      <c r="E12" s="29" t="s">
        <v>970</v>
      </c>
      <c r="F12" s="29" t="s">
        <v>966</v>
      </c>
      <c r="G12" s="29" t="s">
        <v>971</v>
      </c>
      <c r="H12" s="29" t="s">
        <v>972</v>
      </c>
      <c r="I12" s="29" t="s">
        <v>973</v>
      </c>
    </row>
    <row r="13" spans="1:9" x14ac:dyDescent="0.25">
      <c r="A13" s="29" t="s">
        <v>160</v>
      </c>
      <c r="B13" s="29" t="s">
        <v>161</v>
      </c>
      <c r="C13" s="29" t="s">
        <v>974</v>
      </c>
      <c r="D13" s="29" t="s">
        <v>975</v>
      </c>
      <c r="E13" s="29" t="s">
        <v>976</v>
      </c>
      <c r="F13" s="29" t="s">
        <v>966</v>
      </c>
      <c r="G13" s="29" t="s">
        <v>977</v>
      </c>
      <c r="H13" s="29" t="s">
        <v>978</v>
      </c>
      <c r="I13" s="29" t="s">
        <v>979</v>
      </c>
    </row>
    <row r="14" spans="1:9" x14ac:dyDescent="0.25">
      <c r="A14" s="29" t="s">
        <v>56</v>
      </c>
      <c r="B14" s="29" t="s">
        <v>57</v>
      </c>
      <c r="C14" s="29" t="s">
        <v>980</v>
      </c>
      <c r="D14" s="29">
        <v>14</v>
      </c>
      <c r="E14" s="29" t="s">
        <v>981</v>
      </c>
      <c r="F14" s="29" t="s">
        <v>966</v>
      </c>
      <c r="G14" s="29" t="s">
        <v>982</v>
      </c>
      <c r="H14" s="29" t="s">
        <v>983</v>
      </c>
      <c r="I14" s="29" t="s">
        <v>984</v>
      </c>
    </row>
    <row r="15" spans="1:9" x14ac:dyDescent="0.25">
      <c r="A15" s="29" t="s">
        <v>80</v>
      </c>
      <c r="B15" s="29" t="s">
        <v>81</v>
      </c>
      <c r="C15" s="29" t="s">
        <v>985</v>
      </c>
      <c r="D15" s="29" t="s">
        <v>986</v>
      </c>
      <c r="E15" s="29" t="s">
        <v>987</v>
      </c>
      <c r="F15" s="29" t="s">
        <v>966</v>
      </c>
      <c r="G15" s="29" t="s">
        <v>982</v>
      </c>
      <c r="H15" s="29" t="s">
        <v>988</v>
      </c>
      <c r="I15" s="29" t="s">
        <v>989</v>
      </c>
    </row>
    <row r="16" spans="1:9" x14ac:dyDescent="0.25">
      <c r="A16" s="29" t="s">
        <v>99</v>
      </c>
      <c r="B16" s="29" t="s">
        <v>100</v>
      </c>
      <c r="C16" s="29" t="s">
        <v>286</v>
      </c>
      <c r="D16" s="29">
        <v>8</v>
      </c>
      <c r="E16" s="29" t="s">
        <v>990</v>
      </c>
      <c r="F16" s="29" t="s">
        <v>966</v>
      </c>
      <c r="G16" s="29" t="s">
        <v>982</v>
      </c>
      <c r="H16" s="29" t="s">
        <v>991</v>
      </c>
      <c r="I16" s="29" t="s">
        <v>992</v>
      </c>
    </row>
    <row r="17" spans="1:9" x14ac:dyDescent="0.25">
      <c r="A17" s="29" t="s">
        <v>99</v>
      </c>
      <c r="B17" s="29" t="s">
        <v>100</v>
      </c>
      <c r="C17" s="29" t="s">
        <v>993</v>
      </c>
      <c r="D17" s="29" t="s">
        <v>994</v>
      </c>
      <c r="E17" s="29" t="s">
        <v>995</v>
      </c>
      <c r="F17" s="29" t="s">
        <v>996</v>
      </c>
      <c r="G17" s="29" t="s">
        <v>997</v>
      </c>
      <c r="H17" s="29" t="s">
        <v>953</v>
      </c>
      <c r="I17" s="29" t="s">
        <v>998</v>
      </c>
    </row>
    <row r="18" spans="1:9" x14ac:dyDescent="0.25">
      <c r="A18" s="29" t="s">
        <v>70</v>
      </c>
      <c r="B18" s="29" t="s">
        <v>71</v>
      </c>
      <c r="C18" s="29" t="s">
        <v>839</v>
      </c>
      <c r="D18" s="29" t="s">
        <v>953</v>
      </c>
      <c r="E18" s="29" t="s">
        <v>999</v>
      </c>
      <c r="F18" s="29" t="s">
        <v>1000</v>
      </c>
      <c r="G18" s="29" t="s">
        <v>1001</v>
      </c>
      <c r="H18" s="29" t="s">
        <v>546</v>
      </c>
      <c r="I18" s="29" t="s">
        <v>953</v>
      </c>
    </row>
    <row r="19" spans="1:9" x14ac:dyDescent="0.25">
      <c r="A19" s="29" t="s">
        <v>207</v>
      </c>
      <c r="B19" s="29" t="s">
        <v>208</v>
      </c>
      <c r="C19" s="29" t="s">
        <v>839</v>
      </c>
      <c r="D19" s="29" t="s">
        <v>953</v>
      </c>
      <c r="E19" s="29" t="s">
        <v>1002</v>
      </c>
      <c r="F19" s="29" t="s">
        <v>1000</v>
      </c>
      <c r="G19" s="29" t="s">
        <v>1001</v>
      </c>
      <c r="H19" s="29" t="s">
        <v>1003</v>
      </c>
      <c r="I19" s="29" t="s">
        <v>1004</v>
      </c>
    </row>
    <row r="20" spans="1:9" x14ac:dyDescent="0.25">
      <c r="A20" s="29" t="s">
        <v>241</v>
      </c>
      <c r="B20" s="29" t="s">
        <v>242</v>
      </c>
      <c r="C20" s="29" t="s">
        <v>839</v>
      </c>
      <c r="D20" s="29" t="s">
        <v>953</v>
      </c>
      <c r="E20" s="29" t="s">
        <v>1005</v>
      </c>
      <c r="F20" s="29" t="s">
        <v>1000</v>
      </c>
      <c r="G20" s="29" t="s">
        <v>1001</v>
      </c>
      <c r="H20" s="29" t="s">
        <v>1006</v>
      </c>
      <c r="I20" s="29" t="s">
        <v>953</v>
      </c>
    </row>
    <row r="21" spans="1:9" x14ac:dyDescent="0.25">
      <c r="A21" s="29" t="s">
        <v>1007</v>
      </c>
      <c r="B21" s="29" t="s">
        <v>881</v>
      </c>
      <c r="C21" s="29" t="s">
        <v>505</v>
      </c>
      <c r="D21" s="29" t="s">
        <v>124</v>
      </c>
      <c r="E21" s="29" t="s">
        <v>1008</v>
      </c>
      <c r="F21" s="29" t="s">
        <v>1009</v>
      </c>
      <c r="G21" s="29" t="s">
        <v>953</v>
      </c>
      <c r="H21" s="29" t="s">
        <v>1010</v>
      </c>
      <c r="I21" s="29" t="s">
        <v>953</v>
      </c>
    </row>
    <row r="22" spans="1:9" x14ac:dyDescent="0.25">
      <c r="A22" s="29" t="s">
        <v>1011</v>
      </c>
      <c r="B22" s="29" t="s">
        <v>953</v>
      </c>
      <c r="C22" s="29" t="s">
        <v>1012</v>
      </c>
      <c r="D22" s="29" t="s">
        <v>953</v>
      </c>
      <c r="E22" s="29" t="s">
        <v>1013</v>
      </c>
      <c r="F22" s="29" t="s">
        <v>1009</v>
      </c>
      <c r="G22" s="29" t="s">
        <v>953</v>
      </c>
      <c r="H22" s="29" t="s">
        <v>1014</v>
      </c>
      <c r="I22" s="29" t="s">
        <v>1015</v>
      </c>
    </row>
    <row r="23" spans="1:9" x14ac:dyDescent="0.25">
      <c r="A23" s="29" t="s">
        <v>1016</v>
      </c>
      <c r="B23" s="29" t="s">
        <v>953</v>
      </c>
      <c r="C23" s="29" t="s">
        <v>963</v>
      </c>
      <c r="D23" s="29" t="s">
        <v>953</v>
      </c>
      <c r="E23" s="29" t="s">
        <v>1017</v>
      </c>
      <c r="F23" s="29" t="s">
        <v>1009</v>
      </c>
      <c r="G23" s="29" t="s">
        <v>953</v>
      </c>
      <c r="H23" s="29" t="s">
        <v>1018</v>
      </c>
      <c r="I23" s="29" t="s">
        <v>1019</v>
      </c>
    </row>
    <row r="24" spans="1:9" x14ac:dyDescent="0.25">
      <c r="A24" s="29" t="s">
        <v>475</v>
      </c>
      <c r="B24" s="29" t="s">
        <v>953</v>
      </c>
      <c r="C24" s="29" t="s">
        <v>1020</v>
      </c>
      <c r="D24" s="29" t="s">
        <v>953</v>
      </c>
      <c r="E24" s="29" t="s">
        <v>1021</v>
      </c>
      <c r="F24" s="29" t="s">
        <v>1000</v>
      </c>
      <c r="G24" s="29" t="s">
        <v>953</v>
      </c>
      <c r="H24" s="29" t="s">
        <v>1022</v>
      </c>
      <c r="I24" s="29" t="s">
        <v>953</v>
      </c>
    </row>
    <row r="25" spans="1:9" x14ac:dyDescent="0.25">
      <c r="A25" s="29" t="s">
        <v>1023</v>
      </c>
      <c r="B25" s="29" t="s">
        <v>953</v>
      </c>
      <c r="C25" s="29" t="s">
        <v>1020</v>
      </c>
      <c r="D25" s="29" t="s">
        <v>953</v>
      </c>
      <c r="E25" s="29" t="s">
        <v>1024</v>
      </c>
      <c r="F25" s="29" t="s">
        <v>1000</v>
      </c>
      <c r="G25" s="29" t="s">
        <v>953</v>
      </c>
      <c r="H25" s="29" t="s">
        <v>1025</v>
      </c>
      <c r="I25" s="29" t="s">
        <v>953</v>
      </c>
    </row>
    <row r="26" spans="1:9" x14ac:dyDescent="0.25">
      <c r="A26" s="29" t="s">
        <v>1026</v>
      </c>
      <c r="B26" s="29" t="s">
        <v>953</v>
      </c>
      <c r="C26" s="29" t="s">
        <v>1020</v>
      </c>
      <c r="D26" s="29" t="s">
        <v>953</v>
      </c>
      <c r="E26" s="29" t="s">
        <v>1027</v>
      </c>
      <c r="F26" s="29" t="s">
        <v>1000</v>
      </c>
      <c r="G26" s="29" t="s">
        <v>953</v>
      </c>
      <c r="H26" s="29" t="s">
        <v>1028</v>
      </c>
      <c r="I26" s="29" t="s">
        <v>953</v>
      </c>
    </row>
    <row r="27" spans="1:9" x14ac:dyDescent="0.25">
      <c r="A27" s="29" t="s">
        <v>1029</v>
      </c>
      <c r="B27" s="29" t="s">
        <v>953</v>
      </c>
      <c r="C27" s="29" t="s">
        <v>1020</v>
      </c>
      <c r="D27" s="29" t="s">
        <v>953</v>
      </c>
      <c r="E27" s="29" t="s">
        <v>1030</v>
      </c>
      <c r="F27" s="29" t="s">
        <v>1000</v>
      </c>
      <c r="G27" s="29" t="s">
        <v>953</v>
      </c>
      <c r="H27" s="29" t="s">
        <v>953</v>
      </c>
      <c r="I27" s="29" t="s">
        <v>953</v>
      </c>
    </row>
  </sheetData>
  <autoFilter ref="A4:I27"/>
  <mergeCells count="1">
    <mergeCell ref="A2:I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Vessel Register</vt:lpstr>
      <vt:lpstr>Technical Particulars</vt:lpstr>
      <vt:lpstr>Source Comparison</vt:lpstr>
      <vt:lpstr>Build Sequence</vt:lpstr>
      <vt:lpstr>Field Evidence</vt:lpstr>
      <vt:lpstr>Sources</vt:lpstr>
      <vt:lpstr>Data Gaps</vt:lpstr>
      <vt:lpstr>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2026-09-25T21:04:19Z</dcterms:created>
  <dcterms:modified xsi:type="dcterms:W3CDTF">2026-09-25T21:04:19Z</dcterms:modified>
</cp:coreProperties>
</file>